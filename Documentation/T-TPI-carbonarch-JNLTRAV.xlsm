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95" i="156"/>
  <c r="B92" i="156"/>
  <c r="B89" i="156"/>
  <c r="B86" i="156"/>
  <c r="B83" i="156"/>
  <c r="B79" i="156"/>
  <c r="B76" i="156"/>
  <c r="B73" i="156"/>
  <c r="B70" i="156"/>
  <c r="B67" i="156"/>
  <c r="B63" i="156"/>
  <c r="B60" i="156"/>
  <c r="B57" i="156"/>
  <c r="B54" i="156"/>
  <c r="B51" i="156"/>
  <c r="B47" i="156"/>
  <c r="B44" i="156"/>
  <c r="B38" i="156"/>
  <c r="B30" i="156"/>
  <c r="B24" i="156"/>
  <c r="B17" i="156"/>
  <c r="B3" i="156"/>
  <c r="B19" i="155"/>
  <c r="B15" i="155"/>
  <c r="B8" i="155"/>
  <c r="B3" i="155"/>
  <c r="D1" i="156"/>
  <c r="D22" i="156" s="1"/>
  <c r="D49" i="156" s="1"/>
  <c r="B132" i="155" l="1"/>
  <c r="B108" i="155"/>
  <c r="B79" i="155"/>
  <c r="B51" i="155"/>
  <c r="B23" i="155"/>
  <c r="D65" i="156"/>
  <c r="D81" i="156" s="1"/>
  <c r="B18" i="154"/>
  <c r="B13" i="11" l="1"/>
</calcChain>
</file>

<file path=xl/sharedStrings.xml><?xml version="1.0" encoding="utf-8"?>
<sst xmlns="http://schemas.openxmlformats.org/spreadsheetml/2006/main" count="423" uniqueCount="160">
  <si>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</si>
  <si>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</si>
  <si>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</si>
  <si>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</si>
  <si>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</si>
  <si>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</si>
  <si>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</si>
  <si>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</si>
  <si>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</si>
  <si>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</si>
  <si>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</si>
  <si>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</si>
  <si>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</si>
  <si>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</si>
  <si>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</si>
  <si>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</si>
  <si>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</si>
  <si>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</si>
  <si>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</si>
  <si>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</si>
  <si>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</si>
  <si>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</si>
  <si>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</si>
  <si>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</si>
  <si>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</si>
  <si>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</si>
  <si>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</si>
  <si>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</si>
  <si>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</si>
  <si>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</si>
  <si>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</si>
  <si>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</si>
  <si>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</si>
  <si>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</si>
  <si>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</si>
  <si>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</si>
  <si>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</si>
  <si>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</si>
  <si>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</si>
  <si>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</si>
  <si>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</si>
  <si>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</si>
  <si>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</si>
  <si>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</si>
  <si>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</si>
  <si>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</si>
  <si>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</si>
  <si>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</si>
  <si>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</si>
  <si>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</si>
  <si>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</si>
  <si>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</si>
  <si>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</si>
  <si>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</si>
  <si>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</si>
  <si>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</si>
  <si>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</si>
  <si>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</si>
  <si>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</si>
  <si>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</si>
  <si>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</si>
  <si>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</si>
  <si>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</si>
  <si>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</si>
  <si>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</si>
  <si>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</si>
  <si>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</si>
  <si>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</si>
  <si>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</si>
  <si>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</si>
  <si>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</si>
  <si>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</si>
  <si>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</si>
  <si>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</si>
  <si>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</si>
  <si>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</si>
  <si>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</si>
  <si>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</si>
  <si>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</si>
  <si>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</si>
  <si>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</si>
  <si>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</si>
  <si>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</si>
  <si>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</si>
  <si>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</si>
  <si>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</si>
  <si>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</si>
  <si>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</si>
  <si>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</si>
  <si>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</si>
  <si>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</si>
  <si>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</si>
  <si>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</si>
  <si>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</si>
  <si>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</si>
  <si>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</si>
  <si>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</si>
  <si>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</si>
  <si>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</si>
  <si>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</si>
  <si>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</si>
  <si>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</si>
  <si>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</si>
  <si>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</si>
  <si>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</si>
  <si>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</si>
  <si>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</si>
  <si>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</si>
  <si>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</si>
  <si>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</si>
  <si>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</si>
  <si>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</si>
  <si>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</si>
  <si>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</si>
  <si>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</si>
  <si>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</si>
  <si>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</si>
  <si>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</si>
  <si>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</si>
  <si>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</si>
  <si>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</si>
  <si>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</si>
  <si>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</si>
  <si>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</si>
  <si>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</si>
  <si>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</si>
  <si>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</si>
  <si>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</si>
  <si>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</si>
  <si>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</si>
  <si>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</si>
  <si>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</si>
  <si>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</si>
  <si>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</si>
  <si>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</si>
  <si>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</si>
  <si>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</si>
  <si>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Avancement dans le rapport :
• 1.1 Titre
• 1.2 Description
• 1.3 Matériel et Logiciels à disposition
• 1.4 Prérequis</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</si>
  <si>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</si>
  <si>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</si>
  <si>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</si>
  <si>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</si>
  <si>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</si>
  <si>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</si>
  <si>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</si>
  <si>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</si>
  <si>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</si>
  <si>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</si>
  <si>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</si>
  <si>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</si>
  <si>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Avancement dans le rapport avec les éléments actuels dont :
• 1.5.1 Objectifs et portée du projet (objectifs SMART)
• 1.5.2. Caractéristiques des utilisateurs et impacts
• 1.5.3. Fonctionnalités requises (du point de vue de l'utilisateur)
• 1.5.4. Contraintes
• 1.5.5. Travail à réaliser par l'apprenti
• 1.6. Les points suivants seront évalués
• 2. Planification initiale
• 3.1. Opportunités
• 3.3. Conception des tests
• 3.4. Planification détaillé
Modification de la mise en page et du pied-de-page suivent les conseils de l'expert.
Création du fichier PDF du rapport.</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</si>
  <si>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</si>
  <si>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</si>
  <si>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</si>
  <si>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</si>
  <si>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corréspond aux normes ETML.
Vérification des normes ETML.</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</si>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</sst>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0" t="s">
        <v>19</v>
      </c>
      <c r="C19" s="171"/>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4" t="s">
        <v>131</v>
      </c>
      <c r="E2" s="175"/>
      <c r="F2" s="175"/>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6"/>
      <c r="CP2" s="174" t="s">
        <v>132</v>
      </c>
      <c r="CQ2" s="175"/>
      <c r="CR2" s="175"/>
      <c r="CS2" s="175"/>
      <c r="CT2" s="175"/>
      <c r="CU2" s="175"/>
      <c r="CV2" s="175"/>
      <c r="CW2" s="175"/>
      <c r="CX2" s="175"/>
      <c r="CY2" s="175"/>
      <c r="CZ2" s="175"/>
      <c r="DA2" s="175"/>
      <c r="DB2" s="175"/>
      <c r="DC2" s="175"/>
      <c r="DD2" s="175"/>
      <c r="DE2" s="175"/>
      <c r="DF2" s="175"/>
      <c r="DG2" s="175"/>
      <c r="DH2" s="175"/>
      <c r="DI2" s="175"/>
      <c r="DJ2" s="175"/>
      <c r="DK2" s="175"/>
      <c r="DL2" s="175"/>
      <c r="DM2" s="175"/>
      <c r="DN2" s="175"/>
      <c r="DO2" s="175"/>
      <c r="DP2" s="175"/>
      <c r="DQ2" s="175"/>
      <c r="DR2" s="175"/>
      <c r="DS2" s="175"/>
      <c r="DT2" s="175"/>
      <c r="DU2" s="175"/>
      <c r="DV2" s="175"/>
      <c r="DW2" s="175"/>
      <c r="DX2" s="175"/>
      <c r="DY2" s="175"/>
      <c r="DZ2" s="175"/>
      <c r="EA2" s="175"/>
      <c r="EB2" s="175"/>
      <c r="EC2" s="175"/>
      <c r="ED2" s="175"/>
      <c r="EE2" s="175"/>
      <c r="EF2" s="175"/>
      <c r="EG2" s="175"/>
      <c r="EH2" s="175"/>
      <c r="EI2" s="175"/>
      <c r="EJ2" s="175"/>
      <c r="EK2" s="175"/>
      <c r="EL2" s="175"/>
      <c r="EM2" s="175"/>
      <c r="EN2" s="175"/>
      <c r="EO2" s="175"/>
      <c r="EP2" s="175"/>
      <c r="EQ2" s="175"/>
      <c r="ER2" s="175"/>
      <c r="ES2" s="175"/>
      <c r="ET2" s="175"/>
      <c r="EU2" s="175"/>
      <c r="EV2" s="175"/>
      <c r="EW2" s="175"/>
      <c r="EX2" s="175"/>
      <c r="EY2" s="175"/>
      <c r="EZ2" s="175"/>
      <c r="FA2" s="175"/>
      <c r="FB2" s="175"/>
      <c r="FC2" s="175"/>
      <c r="FD2" s="175"/>
      <c r="FE2" s="175"/>
      <c r="FF2" s="175"/>
      <c r="FG2" s="175"/>
      <c r="FH2" s="175"/>
      <c r="FI2" s="175"/>
      <c r="FJ2" s="175"/>
      <c r="FK2" s="175"/>
      <c r="FL2" s="175"/>
      <c r="FM2" s="175"/>
      <c r="FN2" s="175"/>
      <c r="FO2" s="175"/>
      <c r="FP2" s="175"/>
      <c r="FQ2" s="175"/>
      <c r="FR2" s="175"/>
      <c r="FS2" s="175"/>
      <c r="FT2" s="175"/>
      <c r="FU2" s="175"/>
      <c r="FV2" s="175"/>
      <c r="FW2" s="175"/>
      <c r="FX2" s="175"/>
      <c r="FY2" s="175"/>
      <c r="FZ2" s="175"/>
      <c r="GA2" s="176"/>
      <c r="GB2" s="174" t="s">
        <v>133</v>
      </c>
      <c r="GC2" s="175"/>
      <c r="GD2" s="175"/>
      <c r="GE2" s="175"/>
      <c r="GF2" s="175"/>
      <c r="GG2" s="175"/>
      <c r="GH2" s="175"/>
      <c r="GI2" s="175"/>
      <c r="GJ2" s="175"/>
      <c r="GK2" s="175"/>
      <c r="GL2" s="175"/>
      <c r="GM2" s="175"/>
      <c r="GN2" s="175"/>
      <c r="GO2" s="175"/>
      <c r="GP2" s="175"/>
      <c r="GQ2" s="175"/>
      <c r="GR2" s="175"/>
      <c r="GS2" s="175"/>
      <c r="GT2" s="175"/>
      <c r="GU2" s="175"/>
      <c r="GV2" s="175"/>
      <c r="GW2" s="175"/>
      <c r="GX2" s="175"/>
      <c r="GY2" s="175"/>
      <c r="GZ2" s="175"/>
      <c r="HA2" s="175"/>
      <c r="HB2" s="175"/>
      <c r="HC2" s="175"/>
      <c r="HD2" s="175"/>
      <c r="HE2" s="175"/>
      <c r="HF2" s="175"/>
      <c r="HG2" s="175"/>
      <c r="HH2" s="175"/>
      <c r="HI2" s="175"/>
      <c r="HJ2" s="175"/>
      <c r="HK2" s="175"/>
      <c r="HL2" s="175"/>
      <c r="HM2" s="175"/>
      <c r="HN2" s="175"/>
      <c r="HO2" s="175"/>
      <c r="HP2" s="175"/>
      <c r="HQ2" s="175"/>
      <c r="HR2" s="175"/>
      <c r="HS2" s="175"/>
      <c r="HT2" s="175"/>
      <c r="HU2" s="175"/>
      <c r="HV2" s="175"/>
      <c r="HW2" s="175"/>
      <c r="HX2" s="175"/>
      <c r="HY2" s="175"/>
      <c r="HZ2" s="175"/>
      <c r="IA2" s="175"/>
      <c r="IB2" s="175"/>
      <c r="IC2" s="175"/>
      <c r="ID2" s="175"/>
      <c r="IE2" s="175"/>
      <c r="IF2" s="175"/>
      <c r="IG2" s="175"/>
      <c r="IH2" s="175"/>
      <c r="II2" s="175"/>
      <c r="IJ2" s="175"/>
      <c r="IK2" s="175"/>
      <c r="IL2" s="175"/>
      <c r="IM2" s="175"/>
      <c r="IN2" s="175"/>
      <c r="IO2" s="175"/>
      <c r="IP2" s="175"/>
      <c r="IQ2" s="175"/>
      <c r="IR2" s="175"/>
      <c r="IS2" s="175"/>
      <c r="IT2" s="175"/>
      <c r="IU2" s="175"/>
      <c r="IV2" s="175"/>
      <c r="IW2" s="175"/>
      <c r="IX2" s="175"/>
      <c r="IY2" s="175"/>
      <c r="IZ2" s="175"/>
      <c r="JA2" s="175"/>
      <c r="JB2" s="175"/>
      <c r="JC2" s="175"/>
      <c r="JD2" s="175"/>
      <c r="JE2" s="175"/>
      <c r="JF2" s="175"/>
      <c r="JG2" s="175"/>
      <c r="JH2" s="175"/>
      <c r="JI2" s="175"/>
      <c r="JJ2" s="175"/>
      <c r="JK2" s="175"/>
      <c r="JL2" s="175"/>
      <c r="JM2" s="176"/>
      <c r="JN2" s="174" t="s">
        <v>134</v>
      </c>
      <c r="JO2" s="175"/>
      <c r="JP2" s="175"/>
      <c r="JQ2" s="175"/>
      <c r="JR2" s="175"/>
      <c r="JS2" s="175"/>
      <c r="JT2" s="175"/>
      <c r="JU2" s="175"/>
      <c r="JV2" s="175"/>
      <c r="JW2" s="175"/>
      <c r="JX2" s="175"/>
      <c r="JY2" s="175"/>
      <c r="JZ2" s="175"/>
      <c r="KA2" s="175"/>
      <c r="KB2" s="175"/>
      <c r="KC2" s="175"/>
      <c r="KD2" s="175"/>
      <c r="KE2" s="175"/>
      <c r="KF2" s="175"/>
      <c r="KG2" s="175"/>
      <c r="KH2" s="175"/>
      <c r="KI2" s="175"/>
      <c r="KJ2" s="175"/>
      <c r="KK2" s="175"/>
      <c r="KL2" s="175"/>
      <c r="KM2" s="175"/>
      <c r="KN2" s="175"/>
      <c r="KO2" s="175"/>
      <c r="KP2" s="175"/>
      <c r="KQ2" s="175"/>
      <c r="KR2" s="175"/>
      <c r="KS2" s="175"/>
      <c r="KT2" s="175"/>
      <c r="KU2" s="175"/>
      <c r="KV2" s="175"/>
      <c r="KW2" s="175"/>
      <c r="KX2" s="175"/>
      <c r="KY2" s="175"/>
      <c r="KZ2" s="175"/>
      <c r="LA2" s="175"/>
      <c r="LB2" s="175"/>
      <c r="LC2" s="175"/>
      <c r="LD2" s="175"/>
      <c r="LE2" s="175"/>
      <c r="LF2" s="175"/>
      <c r="LG2" s="175"/>
      <c r="LH2" s="175"/>
      <c r="LI2" s="175"/>
      <c r="LJ2" s="175"/>
      <c r="LK2" s="175"/>
      <c r="LL2" s="175"/>
      <c r="LM2" s="175"/>
      <c r="LN2" s="175"/>
      <c r="LO2" s="175"/>
      <c r="LP2" s="175"/>
      <c r="LQ2" s="175"/>
      <c r="LR2" s="175"/>
      <c r="LS2" s="175"/>
      <c r="LT2" s="175"/>
      <c r="LU2" s="175"/>
      <c r="LV2" s="175"/>
      <c r="LW2" s="175"/>
      <c r="LX2" s="175"/>
      <c r="LY2" s="175"/>
      <c r="LZ2" s="175"/>
      <c r="MA2" s="175"/>
      <c r="MB2" s="175"/>
      <c r="MC2" s="175"/>
      <c r="MD2" s="175"/>
      <c r="ME2" s="175"/>
      <c r="MF2" s="175"/>
      <c r="MG2" s="175"/>
      <c r="MH2" s="175"/>
      <c r="MI2" s="175"/>
      <c r="MJ2" s="175"/>
      <c r="MK2" s="175"/>
      <c r="ML2" s="175"/>
      <c r="MM2" s="175"/>
      <c r="MN2" s="175"/>
      <c r="MO2" s="175"/>
      <c r="MP2" s="175"/>
      <c r="MQ2" s="175"/>
      <c r="MR2" s="175"/>
      <c r="MS2" s="175"/>
      <c r="MT2" s="175"/>
      <c r="MU2" s="175"/>
      <c r="MV2" s="175"/>
      <c r="MW2" s="175"/>
      <c r="MX2" s="175"/>
      <c r="MY2" s="176"/>
      <c r="MZ2" s="174" t="s">
        <v>135</v>
      </c>
      <c r="NA2" s="175"/>
      <c r="NB2" s="175"/>
      <c r="NC2" s="175"/>
      <c r="ND2" s="175"/>
      <c r="NE2" s="175"/>
      <c r="NF2" s="175"/>
      <c r="NG2" s="175"/>
      <c r="NH2" s="175"/>
      <c r="NI2" s="175"/>
      <c r="NJ2" s="175"/>
      <c r="NK2" s="175"/>
      <c r="NL2" s="175"/>
      <c r="NM2" s="175"/>
      <c r="NN2" s="175"/>
      <c r="NO2" s="175"/>
      <c r="NP2" s="175"/>
      <c r="NQ2" s="175"/>
      <c r="NR2" s="175"/>
      <c r="NS2" s="175"/>
      <c r="NT2" s="175"/>
      <c r="NU2" s="175"/>
      <c r="NV2" s="175"/>
      <c r="NW2" s="175"/>
      <c r="NX2" s="175"/>
      <c r="NY2" s="175"/>
      <c r="NZ2" s="175"/>
      <c r="OA2" s="175"/>
      <c r="OB2" s="175"/>
      <c r="OC2" s="175"/>
      <c r="OD2" s="175"/>
      <c r="OE2" s="175"/>
      <c r="OF2" s="175"/>
      <c r="OG2" s="175"/>
      <c r="OH2" s="175"/>
      <c r="OI2" s="175"/>
      <c r="OJ2" s="175"/>
      <c r="OK2" s="175"/>
      <c r="OL2" s="175"/>
      <c r="OM2" s="175"/>
      <c r="ON2" s="175"/>
      <c r="OO2" s="175"/>
      <c r="OP2" s="175"/>
      <c r="OQ2" s="175"/>
      <c r="OR2" s="175"/>
      <c r="OS2" s="175"/>
      <c r="OT2" s="175"/>
      <c r="OU2" s="175"/>
      <c r="OV2" s="175"/>
      <c r="OW2" s="175"/>
      <c r="OX2" s="175"/>
      <c r="OY2" s="175"/>
      <c r="OZ2" s="175"/>
      <c r="PA2" s="175"/>
      <c r="PB2" s="175"/>
      <c r="PC2" s="175"/>
      <c r="PD2" s="175"/>
      <c r="PE2" s="175"/>
      <c r="PF2" s="175"/>
      <c r="PG2" s="175"/>
      <c r="PH2" s="175"/>
      <c r="PI2" s="175"/>
      <c r="PJ2" s="175"/>
      <c r="PK2" s="175"/>
      <c r="PL2" s="175"/>
      <c r="PM2" s="175"/>
      <c r="PN2" s="175"/>
      <c r="PO2" s="175"/>
      <c r="PP2" s="175"/>
      <c r="PQ2" s="175"/>
      <c r="PR2" s="175"/>
      <c r="PS2" s="175"/>
      <c r="PT2" s="175"/>
      <c r="PU2" s="175"/>
      <c r="PV2" s="175"/>
      <c r="PW2" s="175"/>
      <c r="PX2" s="175"/>
      <c r="PY2" s="175"/>
      <c r="PZ2" s="175"/>
      <c r="QA2" s="175"/>
      <c r="QB2" s="175"/>
      <c r="QC2" s="175"/>
      <c r="QD2" s="175"/>
      <c r="QE2" s="175"/>
      <c r="QF2" s="175"/>
      <c r="QG2" s="175"/>
      <c r="QH2" s="175"/>
      <c r="QI2" s="175"/>
      <c r="QJ2" s="175"/>
      <c r="QK2" s="176"/>
    </row>
    <row r="3" spans="1:453" ht="19.5" customHeight="1" x14ac:dyDescent="0.25">
      <c r="A3" s="138"/>
      <c r="B3" s="177"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8"/>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79"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3"/>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2"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3"/>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2"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3"/>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2"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3"/>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2"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3"/>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2"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3"/>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2"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3"/>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2"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3"/>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2"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3"/>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2"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3"/>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2"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3"/>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2"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3"/>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2"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3"/>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2"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3"/>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2"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3"/>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2"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3"/>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7" t="s">
        <v>21</v>
      </c>
      <c r="C3" s="16">
        <v>0</v>
      </c>
    </row>
    <row r="4" spans="1:4" ht="19.5" customHeight="1" x14ac:dyDescent="0.25">
      <c r="A4" s="19"/>
      <c r="B4" s="180"/>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52" workbookViewId="0">
      <selection activeCell="C22" sqref="C22"/>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7"/>
  <sheetViews>
    <sheetView tabSelected="1" topLeftCell="A38" zoomScale="85" zoomScaleNormal="85" workbookViewId="0">
      <selection activeCell="C42" sqref="C42"/>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139</v>
      </c>
      <c r="D10" s="110" t="s">
        <v>136</v>
      </c>
    </row>
    <row r="11" spans="1:4" s="53" customFormat="1" ht="67.5" x14ac:dyDescent="0.25">
      <c r="A11" s="2" t="s">
        <v>27</v>
      </c>
      <c r="B11" s="2">
        <v>3</v>
      </c>
      <c r="C11" s="101" t="s">
        <v>138</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143</v>
      </c>
      <c r="D26" s="110" t="s">
        <v>144</v>
      </c>
    </row>
    <row r="27" spans="1:9" ht="121.5" x14ac:dyDescent="0.25">
      <c r="A27" s="92" t="s">
        <v>31</v>
      </c>
      <c r="B27" s="93">
        <v>1</v>
      </c>
      <c r="C27" s="110" t="s">
        <v>145</v>
      </c>
      <c r="D27" s="110"/>
    </row>
    <row r="28" spans="1:9" ht="67.5" x14ac:dyDescent="0.25">
      <c r="A28" s="92" t="s">
        <v>28</v>
      </c>
      <c r="B28" s="93">
        <v>3</v>
      </c>
      <c r="C28" s="110" t="s">
        <v>137</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149</v>
      </c>
      <c r="D31" s="101" t="s">
        <v>158</v>
      </c>
      <c r="E31" s="20"/>
      <c r="F31" s="37"/>
      <c r="G31" s="38"/>
      <c r="H31" s="38"/>
      <c r="I31" s="20"/>
    </row>
    <row r="32" spans="1:9" ht="40.5" x14ac:dyDescent="0.25">
      <c r="A32" s="51" t="s">
        <v>39</v>
      </c>
      <c r="B32" s="51">
        <v>1</v>
      </c>
      <c r="C32" s="131" t="s">
        <v>140</v>
      </c>
      <c r="D32" s="131" t="s">
        <v>141</v>
      </c>
      <c r="E32" s="20"/>
      <c r="F32" s="37"/>
      <c r="G32" s="38"/>
      <c r="H32" s="38"/>
      <c r="I32" s="20"/>
    </row>
    <row r="33" spans="1:9" ht="189" x14ac:dyDescent="0.25">
      <c r="A33" s="51" t="s">
        <v>28</v>
      </c>
      <c r="B33" s="51">
        <v>15</v>
      </c>
      <c r="C33" s="131" t="s">
        <v>150</v>
      </c>
      <c r="D33" s="131" t="s">
        <v>148</v>
      </c>
      <c r="E33" s="20"/>
      <c r="F33" s="37"/>
      <c r="G33" s="38"/>
      <c r="H33" s="38"/>
      <c r="I33" s="20"/>
    </row>
    <row r="34" spans="1:9" ht="121.5" x14ac:dyDescent="0.25">
      <c r="A34" s="51" t="s">
        <v>78</v>
      </c>
      <c r="B34" s="51">
        <v>4</v>
      </c>
      <c r="C34" s="131" t="s">
        <v>151</v>
      </c>
      <c r="D34" s="131" t="s">
        <v>147</v>
      </c>
      <c r="E34" s="20"/>
      <c r="F34" s="37"/>
      <c r="G34" s="38"/>
      <c r="H34" s="38"/>
      <c r="I34" s="20"/>
    </row>
    <row r="35" spans="1:9" ht="229.5" x14ac:dyDescent="0.25">
      <c r="A35" s="51" t="s">
        <v>31</v>
      </c>
      <c r="B35" s="51">
        <v>2</v>
      </c>
      <c r="C35" s="131" t="s">
        <v>142</v>
      </c>
      <c r="D35" s="131"/>
      <c r="E35" s="20"/>
      <c r="F35" s="37"/>
      <c r="G35" s="38"/>
      <c r="H35" s="38"/>
      <c r="I35" s="20"/>
    </row>
    <row r="36" spans="1:9" ht="147" x14ac:dyDescent="0.25">
      <c r="A36" s="51" t="s">
        <v>57</v>
      </c>
      <c r="B36" s="51">
        <v>2</v>
      </c>
      <c r="C36" s="131" t="s">
        <v>159</v>
      </c>
      <c r="D36" s="131" t="s">
        <v>146</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155</v>
      </c>
      <c r="D40" s="110" t="s">
        <v>156</v>
      </c>
      <c r="E40" s="20"/>
      <c r="F40" s="37"/>
      <c r="G40" s="38"/>
      <c r="H40" s="38"/>
      <c r="I40" s="20"/>
    </row>
    <row r="41" spans="1:9" ht="67.5" x14ac:dyDescent="0.25">
      <c r="A41" s="93" t="s">
        <v>78</v>
      </c>
      <c r="B41" s="93">
        <v>4</v>
      </c>
      <c r="C41" s="110" t="s">
        <v>152</v>
      </c>
      <c r="D41" s="110" t="s">
        <v>153</v>
      </c>
      <c r="E41" s="20"/>
      <c r="F41" s="37"/>
      <c r="G41" s="38"/>
      <c r="H41" s="38"/>
      <c r="I41" s="20"/>
    </row>
    <row r="42" spans="1:9" ht="94.5" x14ac:dyDescent="0.25">
      <c r="A42" s="93" t="s">
        <v>28</v>
      </c>
      <c r="B42" s="93">
        <v>15</v>
      </c>
      <c r="C42" s="110" t="s">
        <v>157</v>
      </c>
      <c r="D42" s="110" t="s">
        <v>154</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SUM(B45:B46)</f>
        <v>0</v>
      </c>
      <c r="C44" s="118" t="s">
        <v>36</v>
      </c>
      <c r="D44" s="119"/>
      <c r="E44" s="20"/>
      <c r="F44" s="37"/>
      <c r="G44" s="38"/>
      <c r="H44" s="38"/>
      <c r="I44" s="20"/>
    </row>
    <row r="45" spans="1:9" x14ac:dyDescent="0.25">
      <c r="A45" s="99"/>
      <c r="B45" s="99"/>
      <c r="C45" s="112"/>
      <c r="D45" s="100"/>
      <c r="E45" s="20"/>
      <c r="F45" s="37"/>
      <c r="G45" s="38"/>
      <c r="H45" s="38"/>
      <c r="I45" s="20"/>
    </row>
    <row r="46" spans="1:9" ht="14.25" thickBot="1" x14ac:dyDescent="0.3">
      <c r="A46" s="51"/>
      <c r="B46" s="51"/>
      <c r="C46" s="52"/>
      <c r="D46" s="52"/>
      <c r="E46" s="20"/>
      <c r="F46" s="39"/>
      <c r="G46" s="40"/>
      <c r="H46" s="40"/>
      <c r="I46" s="20"/>
    </row>
    <row r="47" spans="1:9" ht="15" thickBot="1" x14ac:dyDescent="0.35">
      <c r="A47" s="48" t="s">
        <v>22</v>
      </c>
      <c r="B47" s="48">
        <f>SUM(B25:B29,B31:B37,B39:B43,B45:B46)</f>
        <v>63</v>
      </c>
      <c r="C47" s="90" t="s">
        <v>38</v>
      </c>
      <c r="D47" s="49"/>
      <c r="E47" s="20"/>
      <c r="F47" s="41"/>
      <c r="G47" s="41"/>
      <c r="H47" s="41"/>
      <c r="I47" s="20"/>
    </row>
    <row r="48" spans="1:9" ht="15" thickBot="1" x14ac:dyDescent="0.35">
      <c r="A48" s="50"/>
      <c r="B48" s="50"/>
      <c r="C48" s="50"/>
      <c r="D48" s="50"/>
      <c r="E48" s="20"/>
      <c r="F48" s="20"/>
      <c r="G48" s="20"/>
      <c r="H48" s="20"/>
      <c r="I48" s="20"/>
    </row>
    <row r="49" spans="1:9" ht="18.75" thickBot="1" x14ac:dyDescent="0.3">
      <c r="A49" s="43" t="s">
        <v>14</v>
      </c>
      <c r="B49" s="44">
        <v>3</v>
      </c>
      <c r="C49" s="45" t="s">
        <v>23</v>
      </c>
      <c r="D49" s="54">
        <f>$D$22+7</f>
        <v>43241</v>
      </c>
      <c r="E49" s="20"/>
      <c r="F49" s="20"/>
      <c r="G49" s="20"/>
      <c r="H49" s="20"/>
      <c r="I49" s="20"/>
    </row>
    <row r="50" spans="1:9" ht="27.75" thickBot="1" x14ac:dyDescent="0.3">
      <c r="A50" s="46" t="s">
        <v>3</v>
      </c>
      <c r="B50" s="47" t="s">
        <v>15</v>
      </c>
      <c r="C50" s="46" t="s">
        <v>7</v>
      </c>
      <c r="D50" s="46" t="s">
        <v>13</v>
      </c>
    </row>
    <row r="51" spans="1:9" ht="14.25" x14ac:dyDescent="0.25">
      <c r="A51" s="121" t="s">
        <v>66</v>
      </c>
      <c r="B51" s="122">
        <f>SUM(B52:B53)</f>
        <v>12</v>
      </c>
      <c r="C51" s="123" t="s">
        <v>35</v>
      </c>
      <c r="D51" s="124"/>
    </row>
    <row r="52" spans="1:9" x14ac:dyDescent="0.25">
      <c r="A52" s="92" t="s">
        <v>41</v>
      </c>
      <c r="B52" s="93">
        <v>12</v>
      </c>
      <c r="C52" s="110" t="s">
        <v>80</v>
      </c>
      <c r="D52" s="94"/>
    </row>
    <row r="53" spans="1:9" x14ac:dyDescent="0.25">
      <c r="A53" s="95"/>
      <c r="B53" s="51"/>
      <c r="C53" s="52"/>
      <c r="D53" s="52"/>
    </row>
    <row r="54" spans="1:9" ht="14.25" x14ac:dyDescent="0.25">
      <c r="A54" s="120" t="s">
        <v>67</v>
      </c>
      <c r="B54" s="117">
        <f>SUM(B55:B56)</f>
        <v>0</v>
      </c>
      <c r="C54" s="118" t="s">
        <v>36</v>
      </c>
      <c r="D54" s="119"/>
    </row>
    <row r="55" spans="1:9" x14ac:dyDescent="0.25">
      <c r="A55" s="2"/>
      <c r="B55" s="2"/>
      <c r="C55" s="101"/>
      <c r="D55" s="10"/>
    </row>
    <row r="56" spans="1:9" x14ac:dyDescent="0.25">
      <c r="A56" s="51"/>
      <c r="B56" s="51"/>
      <c r="C56" s="52"/>
      <c r="D56" s="52"/>
    </row>
    <row r="57" spans="1:9" ht="14.25" x14ac:dyDescent="0.25">
      <c r="A57" s="116" t="s">
        <v>68</v>
      </c>
      <c r="B57" s="117">
        <f>SUM(B58:B59)</f>
        <v>0</v>
      </c>
      <c r="C57" s="118" t="s">
        <v>37</v>
      </c>
      <c r="D57" s="119"/>
    </row>
    <row r="58" spans="1:9" x14ac:dyDescent="0.25">
      <c r="A58" s="93"/>
      <c r="B58" s="93"/>
      <c r="C58" s="110"/>
      <c r="D58" s="94"/>
    </row>
    <row r="59" spans="1:9" x14ac:dyDescent="0.25">
      <c r="A59" s="99"/>
      <c r="B59" s="99"/>
      <c r="C59" s="100"/>
      <c r="D59" s="100"/>
    </row>
    <row r="60" spans="1:9" ht="14.25" x14ac:dyDescent="0.25">
      <c r="A60" s="116" t="s">
        <v>69</v>
      </c>
      <c r="B60" s="117">
        <f>SUM(B61:B62)</f>
        <v>0</v>
      </c>
      <c r="C60" s="118" t="s">
        <v>36</v>
      </c>
      <c r="D60" s="119"/>
    </row>
    <row r="61" spans="1:9" x14ac:dyDescent="0.25">
      <c r="A61" s="99"/>
      <c r="B61" s="99"/>
      <c r="C61" s="112"/>
      <c r="D61" s="100"/>
    </row>
    <row r="62" spans="1:9" ht="14.25" thickBot="1" x14ac:dyDescent="0.3">
      <c r="A62" s="51"/>
      <c r="B62" s="51"/>
      <c r="C62" s="52"/>
      <c r="D62" s="52"/>
    </row>
    <row r="63" spans="1:9" ht="14.25" thickBot="1" x14ac:dyDescent="0.3">
      <c r="A63" s="48" t="s">
        <v>22</v>
      </c>
      <c r="B63" s="48">
        <f>SUM(B52:B53,B55:B56,B58:B59,B61:B62)</f>
        <v>12</v>
      </c>
      <c r="C63" s="90" t="s">
        <v>38</v>
      </c>
      <c r="D63" s="49"/>
    </row>
    <row r="64" spans="1:9" ht="15" thickBot="1" x14ac:dyDescent="0.35">
      <c r="A64" s="50"/>
      <c r="B64" s="50"/>
      <c r="C64" s="50"/>
      <c r="D64" s="50"/>
    </row>
    <row r="65" spans="1:4" ht="18.75" thickBot="1" x14ac:dyDescent="0.3">
      <c r="A65" s="43" t="s">
        <v>14</v>
      </c>
      <c r="B65" s="44">
        <v>4</v>
      </c>
      <c r="C65" s="45" t="s">
        <v>23</v>
      </c>
      <c r="D65" s="54">
        <f>$D$49+7</f>
        <v>43248</v>
      </c>
    </row>
    <row r="66" spans="1:4" ht="27.75" thickBot="1" x14ac:dyDescent="0.3">
      <c r="A66" s="46" t="s">
        <v>3</v>
      </c>
      <c r="B66" s="47" t="s">
        <v>15</v>
      </c>
      <c r="C66" s="46" t="s">
        <v>7</v>
      </c>
      <c r="D66" s="46" t="s">
        <v>13</v>
      </c>
    </row>
    <row r="67" spans="1:4" ht="14.25" x14ac:dyDescent="0.25">
      <c r="A67" s="121" t="s">
        <v>62</v>
      </c>
      <c r="B67" s="122">
        <f>SUM(B68:B69)</f>
        <v>0</v>
      </c>
      <c r="C67" s="123" t="s">
        <v>35</v>
      </c>
      <c r="D67" s="124"/>
    </row>
    <row r="68" spans="1:4" x14ac:dyDescent="0.25">
      <c r="A68" s="92"/>
      <c r="B68" s="93"/>
      <c r="C68" s="110"/>
      <c r="D68" s="94"/>
    </row>
    <row r="69" spans="1:4" x14ac:dyDescent="0.25">
      <c r="A69" s="95"/>
      <c r="B69" s="51"/>
      <c r="C69" s="52"/>
      <c r="D69" s="52"/>
    </row>
    <row r="70" spans="1:4" ht="14.25" x14ac:dyDescent="0.25">
      <c r="A70" s="120" t="s">
        <v>63</v>
      </c>
      <c r="B70" s="117">
        <f>SUM(B71:B72)</f>
        <v>0</v>
      </c>
      <c r="C70" s="118" t="s">
        <v>36</v>
      </c>
      <c r="D70" s="119"/>
    </row>
    <row r="71" spans="1:4" x14ac:dyDescent="0.25">
      <c r="A71" s="2"/>
      <c r="B71" s="2"/>
      <c r="C71" s="101"/>
      <c r="D71" s="10"/>
    </row>
    <row r="72" spans="1:4" x14ac:dyDescent="0.25">
      <c r="A72" s="51"/>
      <c r="B72" s="51"/>
      <c r="C72" s="52"/>
      <c r="D72" s="52"/>
    </row>
    <row r="73" spans="1:4" ht="14.25" x14ac:dyDescent="0.25">
      <c r="A73" s="116" t="s">
        <v>64</v>
      </c>
      <c r="B73" s="117">
        <f>SUM(B74:B75)</f>
        <v>0</v>
      </c>
      <c r="C73" s="118" t="s">
        <v>37</v>
      </c>
      <c r="D73" s="119"/>
    </row>
    <row r="74" spans="1:4" x14ac:dyDescent="0.25">
      <c r="A74" s="93"/>
      <c r="B74" s="93"/>
      <c r="C74" s="110"/>
      <c r="D74" s="94"/>
    </row>
    <row r="75" spans="1:4" x14ac:dyDescent="0.25">
      <c r="A75" s="99"/>
      <c r="B75" s="99"/>
      <c r="C75" s="100"/>
      <c r="D75" s="100"/>
    </row>
    <row r="76" spans="1:4" ht="14.25" x14ac:dyDescent="0.25">
      <c r="A76" s="116" t="s">
        <v>65</v>
      </c>
      <c r="B76" s="117">
        <f>SUM(B77:B78)</f>
        <v>0</v>
      </c>
      <c r="C76" s="118" t="s">
        <v>36</v>
      </c>
      <c r="D76" s="119"/>
    </row>
    <row r="77" spans="1:4" x14ac:dyDescent="0.25">
      <c r="A77" s="99"/>
      <c r="B77" s="99"/>
      <c r="C77" s="112"/>
      <c r="D77" s="100"/>
    </row>
    <row r="78" spans="1:4" ht="14.25" thickBot="1" x14ac:dyDescent="0.3">
      <c r="A78" s="51"/>
      <c r="B78" s="51"/>
      <c r="C78" s="52"/>
      <c r="D78" s="52"/>
    </row>
    <row r="79" spans="1:4" ht="14.25" thickBot="1" x14ac:dyDescent="0.3">
      <c r="A79" s="48" t="s">
        <v>22</v>
      </c>
      <c r="B79" s="48">
        <f>SUM(B68:B69,B71:B72,B74:B75,B77:B78)</f>
        <v>0</v>
      </c>
      <c r="C79" s="90" t="s">
        <v>38</v>
      </c>
      <c r="D79" s="49"/>
    </row>
    <row r="80" spans="1:4" ht="15" thickBot="1" x14ac:dyDescent="0.35">
      <c r="A80" s="50"/>
      <c r="B80" s="50"/>
      <c r="C80" s="50"/>
      <c r="D80" s="50"/>
    </row>
    <row r="81" spans="1:4" ht="18.75" thickBot="1" x14ac:dyDescent="0.3">
      <c r="A81" s="43" t="s">
        <v>14</v>
      </c>
      <c r="B81" s="44">
        <v>5</v>
      </c>
      <c r="C81" s="45" t="s">
        <v>23</v>
      </c>
      <c r="D81" s="54">
        <f>$D$65+7</f>
        <v>43255</v>
      </c>
    </row>
    <row r="82" spans="1:4" ht="27.75" thickBot="1" x14ac:dyDescent="0.3">
      <c r="A82" s="46" t="s">
        <v>3</v>
      </c>
      <c r="B82" s="47" t="s">
        <v>15</v>
      </c>
      <c r="C82" s="46" t="s">
        <v>7</v>
      </c>
      <c r="D82" s="46" t="s">
        <v>13</v>
      </c>
    </row>
    <row r="83" spans="1:4" ht="14.25" x14ac:dyDescent="0.25">
      <c r="A83" s="121" t="s">
        <v>61</v>
      </c>
      <c r="B83" s="122">
        <f>SUM(B84:B85)</f>
        <v>0</v>
      </c>
      <c r="C83" s="123" t="s">
        <v>35</v>
      </c>
      <c r="D83" s="124"/>
    </row>
    <row r="84" spans="1:4" x14ac:dyDescent="0.25">
      <c r="A84" s="92"/>
      <c r="B84" s="93"/>
      <c r="C84" s="110"/>
      <c r="D84" s="94"/>
    </row>
    <row r="85" spans="1:4" x14ac:dyDescent="0.25">
      <c r="A85" s="92"/>
      <c r="B85" s="93"/>
      <c r="C85" s="110"/>
      <c r="D85" s="110"/>
    </row>
    <row r="86" spans="1:4" ht="14.25" x14ac:dyDescent="0.25">
      <c r="A86" s="120" t="s">
        <v>60</v>
      </c>
      <c r="B86" s="117">
        <f>SUM(B87:B88)</f>
        <v>0</v>
      </c>
      <c r="C86" s="118" t="s">
        <v>36</v>
      </c>
      <c r="D86" s="119"/>
    </row>
    <row r="87" spans="1:4" x14ac:dyDescent="0.25">
      <c r="A87" s="2"/>
      <c r="B87" s="2"/>
      <c r="C87" s="101"/>
      <c r="D87" s="10"/>
    </row>
    <row r="88" spans="1:4" x14ac:dyDescent="0.25">
      <c r="A88" s="51"/>
      <c r="B88" s="51"/>
      <c r="C88" s="52"/>
      <c r="D88" s="52"/>
    </row>
    <row r="89" spans="1:4" ht="14.25" x14ac:dyDescent="0.25">
      <c r="A89" s="116" t="s">
        <v>58</v>
      </c>
      <c r="B89" s="117">
        <f>SUM(B90:B91)</f>
        <v>0</v>
      </c>
      <c r="C89" s="118" t="s">
        <v>37</v>
      </c>
      <c r="D89" s="119"/>
    </row>
    <row r="90" spans="1:4" x14ac:dyDescent="0.25">
      <c r="A90" s="93"/>
      <c r="B90" s="93"/>
      <c r="C90" s="110"/>
      <c r="D90" s="94"/>
    </row>
    <row r="91" spans="1:4" x14ac:dyDescent="0.25">
      <c r="A91" s="99"/>
      <c r="B91" s="99"/>
      <c r="C91" s="100"/>
      <c r="D91" s="100"/>
    </row>
    <row r="92" spans="1:4" ht="14.25" x14ac:dyDescent="0.25">
      <c r="A92" s="116" t="s">
        <v>59</v>
      </c>
      <c r="B92" s="117">
        <f>SUM(B93:B94)</f>
        <v>0</v>
      </c>
      <c r="C92" s="118" t="s">
        <v>36</v>
      </c>
      <c r="D92" s="119"/>
    </row>
    <row r="93" spans="1:4" x14ac:dyDescent="0.25">
      <c r="A93" s="99"/>
      <c r="B93" s="99"/>
      <c r="C93" s="112"/>
      <c r="D93" s="100"/>
    </row>
    <row r="94" spans="1:4" ht="14.25" thickBot="1" x14ac:dyDescent="0.3">
      <c r="A94" s="51"/>
      <c r="B94" s="51"/>
      <c r="C94" s="52"/>
      <c r="D94" s="52"/>
    </row>
    <row r="95" spans="1:4" ht="14.25" thickBot="1" x14ac:dyDescent="0.3">
      <c r="A95" s="48" t="s">
        <v>22</v>
      </c>
      <c r="B95" s="48">
        <f>SUM(B84:B85,B87:B88,B90:B91,B93:B94)</f>
        <v>0</v>
      </c>
      <c r="C95" s="90" t="s">
        <v>38</v>
      </c>
      <c r="D95" s="49"/>
    </row>
    <row r="96" spans="1:4" ht="14.25" x14ac:dyDescent="0.3">
      <c r="A96" s="50"/>
      <c r="B96" s="50"/>
      <c r="C96" s="50"/>
      <c r="D96" s="50"/>
    </row>
    <row r="97" spans="1:1" x14ac:dyDescent="0.25">
      <c r="A97"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 type="whole" errorStyle="warning" operator="greaterThan" allowBlank="1" showInputMessage="1" showErrorMessage="1" errorTitle="Durée en 1/3 de période" error="Le nombre doit être de type entier" sqref="B3:B19 B51:B62 B67:B78 B83:B94 B24:B46 F31:F4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47 B79 B63 B95">
      <formula1>0</formula1>
      <formula2>NbPerWeek * NbQuartPer</formula2>
    </dataValidation>
    <dataValidation type="list" allowBlank="1" showInputMessage="1" showErrorMessage="1" sqref="A77:A78 A15:A16 A18:A19 A45:A46 A58:A59 A61:A62 A74:A75 A84:A85 A90:A91 A93:A94 A52:A53 A4:A7 A9:A13 A31:A37 A55:A56 A68:A69 A71:A72 A87:A88 A25:A29 A39:A43">
      <formula1>lstTasks</formula1>
    </dataValidation>
  </dataValidations>
  <pageMargins left="0.7" right="0.7" top="0.75" bottom="0.75" header="0.3" footer="0.3"/>
  <pageSetup paperSize="9" scale="61" fitToHeight="0" orientation="landscape"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2018-05-16T14:30:40Z</cp:lastPrinted>
  <dcterms:created xsi:type="dcterms:W3CDTF">1996-10-21T11:03:58Z</dcterms:created>
  <dcterms:modified xsi:type="dcterms:W3CDTF">2018-05-17T13:36:57Z</dcterms:modified>
</cp:coreProperties>
</file>