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23" i="156" l="1"/>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20" i="156"/>
  <c r="B117" i="156"/>
  <c r="B114" i="156"/>
  <c r="B111" i="156"/>
  <c r="B107" i="156"/>
  <c r="B101" i="156"/>
  <c r="B95" i="156"/>
  <c r="B88" i="156"/>
  <c r="B83" i="156"/>
  <c r="B79"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81" i="156"/>
  <c r="D109" i="156" s="1"/>
  <c r="B18" i="154"/>
  <c r="B13" i="11" l="1"/>
</calcChain>
</file>

<file path=xl/sharedStrings.xml><?xml version="1.0" encoding="utf-8"?>
<sst xmlns="http://schemas.openxmlformats.org/spreadsheetml/2006/main" count="522" uniqueCount="195">
  <si>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</si>
  <si>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</si>
  <si>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</si>
  <si>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</si>
  <si>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</si>
  <si>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</si>
  <si>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</si>
  <si>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</si>
  <si>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</si>
  <si>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</si>
  <si>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</si>
  <si>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</si>
  <si>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</si>
  <si>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</si>
  <si>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</si>
  <si>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</si>
  <si>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</si>
  <si>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</si>
  <si>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</si>
  <si>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</si>
  <si>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</si>
  <si>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</si>
  <si>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</si>
  <si>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</si>
  <si>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</si>
  <si>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</si>
  <si>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</si>
  <si>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</si>
  <si>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</si>
  <si>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</si>
  <si>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</si>
  <si>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</si>
  <si>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</si>
  <si>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</si>
  <si>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</si>
  <si>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</si>
  <si>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</si>
  <si>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</si>
  <si>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</si>
  <si>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</si>
  <si>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</si>
  <si>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</si>
  <si>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</si>
  <si>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</si>
  <si>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</si>
  <si>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</si>
  <si>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</si>
  <si>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</si>
  <si>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</si>
  <si>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</si>
  <si>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</si>
  <si>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</si>
  <si>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</si>
  <si>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</si>
  <si>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</si>
  <si>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</si>
  <si>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</si>
  <si>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</si>
  <si>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</si>
  <si>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</si>
  <si>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</si>
  <si>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</si>
  <si>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</si>
  <si>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</si>
  <si>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</si>
  <si>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</si>
  <si>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</si>
  <si>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</si>
  <si>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</si>
  <si>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</si>
  <si>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</si>
  <si>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</si>
  <si>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</si>
  <si>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</si>
  <si>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</si>
  <si>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</si>
  <si>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</si>
  <si>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</si>
  <si>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</si>
  <si>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</si>
  <si>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</si>
  <si>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</si>
  <si>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</si>
  <si>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</si>
  <si>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</si>
  <si>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</si>
  <si>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</si>
  <si>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</si>
  <si>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</si>
  <si>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</si>
  <si>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</si>
  <si>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</si>
  <si>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</si>
  <si>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</si>
  <si>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</si>
  <si>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</si>
  <si>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</si>
  <si>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</si>
  <si>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</si>
  <si>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</si>
  <si>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</si>
  <si>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</si>
  <si>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</si>
  <si>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</si>
  <si>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</si>
  <si>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</si>
  <si>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</si>
  <si>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</si>
  <si>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</si>
  <si>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</si>
  <si>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</si>
  <si>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</si>
  <si>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</si>
  <si>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</si>
  <si>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</si>
  <si>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</si>
  <si>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</si>
  <si>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</si>
  <si>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</si>
  <si>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</si>
  <si>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</si>
  <si>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</si>
  <si>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</si>
  <si>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</si>
  <si>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</si>
  <si>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</si>
  <si>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</si>
  <si>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</si>
  <si>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</si>
  <si>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</si>
  <si>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</si>
  <si>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</si>
  <si>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</si>
  <si>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</si>
  <si>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</si>
  <si>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</si>
  <si>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</si>
  <si>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</si>
  <si>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</si>
  <si>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</si>
  <si>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</si>
  <si>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</si>
  <si>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</si>
  <si>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</si>
  <si>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</si>
  <si>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</si>
  <si>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</si>
  <si>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</si>
  <si>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</si>
  <si>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</si>
  <si>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</si>
  <si>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</si>
  <si>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</si>
  <si>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</si>
  <si>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</si>
  <si>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</si>
  <si>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</si>
  <si>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</si>
  <si>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</si>
  <si>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</si>
  <si>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</si>
  <si>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</si>
  <si>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</si>
  <si>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</si>
  <si>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</si>
  <si>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</si>
  <si>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</si>
  <si>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</si>
  <si>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</si>
  <si>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</si>
  <si>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</si>
  <si>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</si>
  <si>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 xml:space="preserve">Journal de travail :
TPI/Documentation/T-TPI-carbonarch-JNLTRAV.xlsm
</t>
  </si>
  <si>
    <t xml:space="preserve">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
</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</si>
  <si>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</si>
  <si>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</si>
  <si>
    <t>Entretien avec M. Gruaz concernant l'avancement du projet :
• Discussion concernant les multiples façons d'effectuer les conversions en passant par différent format
• Discussion concernant les possibilités d'effectuer une soustraction en binaire</t>
  </si>
  <si>
    <t>Recherche concernant la façon dont il est possible de convertir de binaire à décimal.
Recherche pour convertir avec des nombres négatifs. (échec, mis de côté en attendant de terminer correctement les conversions)</t>
  </si>
  <si>
    <t>Tentative de conversion avec des nombres décimaux négatifs en binaire. (échec)
Avancement dans la conversion pour effectuer une conversion de binaire à décimal.
Avancement dans le programme (besoin d'être finalisé) :
• Permettre l'affichage du calcul de conversion de décimal à binaire avec les restes (réussi)
• Permettre l'affichage du calcul de conversion de décimal à octal avec les restes (réussi)</t>
  </si>
  <si>
    <t>Modification du code pour :
• Empêcher l'utilisateur d'effectuer une conversion sans choisir le format du nombre à convertir
• Adapter les regexs pour les vérifications
• Pouvoir afficher chaque étapes des conversions (décimal à binaire et décimal à octal) avec le reste en l'affichant sur une autre fenêtre, dont celle-ci se créé lorsque l'utilisateur clique sur "Montrer le calcul"
• Modification des boutons, ceux-ci reste verrouillé dans que la personne ne choisi pas un format ou n'écrit pas le nombre à convertir dans le format choisi</t>
  </si>
  <si>
    <t>Recherche d'un moyen pour convertir de binaire en octale.</t>
  </si>
  <si>
    <t>Examen EcG.</t>
  </si>
  <si>
    <t>Recherche concernant :
• L'éco-conception en C#</t>
  </si>
  <si>
    <t>Codage pour convertir de binaire à décimal en faisant en sorte de garder les résultats des calculs pour pouvoir les afficher.
Tentative de conversion de binaire à octal en gardant les résultats des calculs pour pouvoir les afficher.</t>
  </si>
  <si>
    <t xml:space="preserve">Lien Eco-Conception possible : https://mikaelkrief.wordpress.com/2011/10/12/optimisation-memoire-c/
</t>
  </si>
  <si>
    <t>Exemple de la conversion pris de :
https://www.w3resource.com/csharp-exercises/for-loop/csharp-for-loop-exercise-53.php</t>
  </si>
  <si>
    <r>
      <t>Avancement dans la conversion de binaire à octal :
• La conversion fonctionne correctement à présent
• Un problème concernant la valeur max du nombre max en int32 entré en binaire, le maximum est de 1111111 tandis qu'en décimal il est de 2147483647
• La difficulté étant que la conversion de binaire à octal n'est pas la même que de binaire à décimal, une limite de 2</t>
    </r>
    <r>
      <rPr>
        <vertAlign val="superscript"/>
        <sz val="10"/>
        <rFont val="Century Gothic"/>
        <family val="2"/>
        <scheme val="minor"/>
      </rPr>
      <t>3</t>
    </r>
    <r>
      <rPr>
        <sz val="10"/>
        <rFont val="Century Gothic"/>
        <family val="2"/>
        <scheme val="minor"/>
      </rPr>
      <t xml:space="preserve"> a dût être fixé pour la conversion</t>
    </r>
  </si>
  <si>
    <t>Suppression des éléments non utilisé dans le code.</t>
  </si>
  <si>
    <t>Création de la maquette graphique pour les additions.</t>
  </si>
  <si>
    <t>Emplacement de la maquette graphique : TPI/Documentation/Format PDF/MM-TPI-carbonarch-Maquette_Graphique_Addition.pdf</t>
  </si>
  <si>
    <t>Vérification du code, mise au propre.
Modification des commentaires, des noms de variables.</t>
  </si>
  <si>
    <t>Avancement dans le rapport dont :
• Maquette graphique pour les soustractions
• Maquette graphique pour les additions
Mis des idées sur papier de ce qui pourrait être ajouté dans le rapport, exemple :
• Comment le programme aurait pût être codé
• Les autres possibilités</t>
  </si>
  <si>
    <t>Entretien avec M. Gruaz concernant l'avancement du projet et des points à faire attention/finir.
Aide avec explications concernant les conversions avec nombres à virgule et signé.</t>
  </si>
  <si>
    <t>Recherche concernant un moyen de coder en rapport avec les bonnes pratiques en matières d'écoconception.
Réflexion concernant la mise en place du code pour pouvoir convertir en chiffres binaires signés.</t>
  </si>
  <si>
    <t>Avancement dans la conversion avec des nombres décimaux signés négatifs en binaire signé, un problème est survenu concernant la conversion, la conversion fonctionne cependant si l'utilisateur refait une conversion le résultat est faux, à corriger.
Ajout de la conversion de décimal avec virgule fixe en binaire à virgule fixe, fonctionne correctement.
Modification du code empêcher que le programme n'ait de soucis lorsque l'utilisateur converti avec virgules et sans.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</si>
</sst>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
      <vertAlign val="superscript"/>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4" sqref="C3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3" t="s">
        <v>131</v>
      </c>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c r="CO2" s="175"/>
      <c r="CP2" s="173" t="s">
        <v>132</v>
      </c>
      <c r="CQ2" s="174"/>
      <c r="CR2" s="174"/>
      <c r="CS2" s="174"/>
      <c r="CT2" s="174"/>
      <c r="CU2" s="174"/>
      <c r="CV2" s="174"/>
      <c r="CW2" s="174"/>
      <c r="CX2" s="174"/>
      <c r="CY2" s="174"/>
      <c r="CZ2" s="174"/>
      <c r="DA2" s="174"/>
      <c r="DB2" s="174"/>
      <c r="DC2" s="174"/>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c r="EO2" s="174"/>
      <c r="EP2" s="174"/>
      <c r="EQ2" s="174"/>
      <c r="ER2" s="174"/>
      <c r="ES2" s="174"/>
      <c r="ET2" s="174"/>
      <c r="EU2" s="174"/>
      <c r="EV2" s="174"/>
      <c r="EW2" s="174"/>
      <c r="EX2" s="174"/>
      <c r="EY2" s="174"/>
      <c r="EZ2" s="174"/>
      <c r="FA2" s="174"/>
      <c r="FB2" s="174"/>
      <c r="FC2" s="174"/>
      <c r="FD2" s="174"/>
      <c r="FE2" s="174"/>
      <c r="FF2" s="174"/>
      <c r="FG2" s="174"/>
      <c r="FH2" s="174"/>
      <c r="FI2" s="174"/>
      <c r="FJ2" s="174"/>
      <c r="FK2" s="174"/>
      <c r="FL2" s="174"/>
      <c r="FM2" s="174"/>
      <c r="FN2" s="174"/>
      <c r="FO2" s="174"/>
      <c r="FP2" s="174"/>
      <c r="FQ2" s="174"/>
      <c r="FR2" s="174"/>
      <c r="FS2" s="174"/>
      <c r="FT2" s="174"/>
      <c r="FU2" s="174"/>
      <c r="FV2" s="174"/>
      <c r="FW2" s="174"/>
      <c r="FX2" s="174"/>
      <c r="FY2" s="174"/>
      <c r="FZ2" s="174"/>
      <c r="GA2" s="175"/>
      <c r="GB2" s="173" t="s">
        <v>133</v>
      </c>
      <c r="GC2" s="174"/>
      <c r="GD2" s="174"/>
      <c r="GE2" s="174"/>
      <c r="GF2" s="174"/>
      <c r="GG2" s="174"/>
      <c r="GH2" s="174"/>
      <c r="GI2" s="174"/>
      <c r="GJ2" s="174"/>
      <c r="GK2" s="174"/>
      <c r="GL2" s="174"/>
      <c r="GM2" s="174"/>
      <c r="GN2" s="174"/>
      <c r="GO2" s="174"/>
      <c r="GP2" s="174"/>
      <c r="GQ2" s="174"/>
      <c r="GR2" s="174"/>
      <c r="GS2" s="174"/>
      <c r="GT2" s="174"/>
      <c r="GU2" s="174"/>
      <c r="GV2" s="174"/>
      <c r="GW2" s="174"/>
      <c r="GX2" s="174"/>
      <c r="GY2" s="174"/>
      <c r="GZ2" s="174"/>
      <c r="HA2" s="174"/>
      <c r="HB2" s="174"/>
      <c r="HC2" s="174"/>
      <c r="HD2" s="174"/>
      <c r="HE2" s="174"/>
      <c r="HF2" s="174"/>
      <c r="HG2" s="174"/>
      <c r="HH2" s="174"/>
      <c r="HI2" s="174"/>
      <c r="HJ2" s="174"/>
      <c r="HK2" s="174"/>
      <c r="HL2" s="174"/>
      <c r="HM2" s="174"/>
      <c r="HN2" s="174"/>
      <c r="HO2" s="174"/>
      <c r="HP2" s="174"/>
      <c r="HQ2" s="174"/>
      <c r="HR2" s="174"/>
      <c r="HS2" s="174"/>
      <c r="HT2" s="174"/>
      <c r="HU2" s="174"/>
      <c r="HV2" s="174"/>
      <c r="HW2" s="174"/>
      <c r="HX2" s="174"/>
      <c r="HY2" s="174"/>
      <c r="HZ2" s="174"/>
      <c r="IA2" s="174"/>
      <c r="IB2" s="174"/>
      <c r="IC2" s="174"/>
      <c r="ID2" s="174"/>
      <c r="IE2" s="174"/>
      <c r="IF2" s="174"/>
      <c r="IG2" s="174"/>
      <c r="IH2" s="174"/>
      <c r="II2" s="174"/>
      <c r="IJ2" s="174"/>
      <c r="IK2" s="174"/>
      <c r="IL2" s="174"/>
      <c r="IM2" s="174"/>
      <c r="IN2" s="174"/>
      <c r="IO2" s="174"/>
      <c r="IP2" s="174"/>
      <c r="IQ2" s="174"/>
      <c r="IR2" s="174"/>
      <c r="IS2" s="174"/>
      <c r="IT2" s="174"/>
      <c r="IU2" s="174"/>
      <c r="IV2" s="174"/>
      <c r="IW2" s="174"/>
      <c r="IX2" s="174"/>
      <c r="IY2" s="174"/>
      <c r="IZ2" s="174"/>
      <c r="JA2" s="174"/>
      <c r="JB2" s="174"/>
      <c r="JC2" s="174"/>
      <c r="JD2" s="174"/>
      <c r="JE2" s="174"/>
      <c r="JF2" s="174"/>
      <c r="JG2" s="174"/>
      <c r="JH2" s="174"/>
      <c r="JI2" s="174"/>
      <c r="JJ2" s="174"/>
      <c r="JK2" s="174"/>
      <c r="JL2" s="174"/>
      <c r="JM2" s="175"/>
      <c r="JN2" s="173" t="s">
        <v>134</v>
      </c>
      <c r="JO2" s="174"/>
      <c r="JP2" s="174"/>
      <c r="JQ2" s="174"/>
      <c r="JR2" s="174"/>
      <c r="JS2" s="174"/>
      <c r="JT2" s="174"/>
      <c r="JU2" s="174"/>
      <c r="JV2" s="174"/>
      <c r="JW2" s="174"/>
      <c r="JX2" s="174"/>
      <c r="JY2" s="174"/>
      <c r="JZ2" s="174"/>
      <c r="KA2" s="174"/>
      <c r="KB2" s="174"/>
      <c r="KC2" s="174"/>
      <c r="KD2" s="174"/>
      <c r="KE2" s="174"/>
      <c r="KF2" s="174"/>
      <c r="KG2" s="174"/>
      <c r="KH2" s="174"/>
      <c r="KI2" s="174"/>
      <c r="KJ2" s="174"/>
      <c r="KK2" s="174"/>
      <c r="KL2" s="174"/>
      <c r="KM2" s="174"/>
      <c r="KN2" s="174"/>
      <c r="KO2" s="174"/>
      <c r="KP2" s="174"/>
      <c r="KQ2" s="174"/>
      <c r="KR2" s="174"/>
      <c r="KS2" s="174"/>
      <c r="KT2" s="174"/>
      <c r="KU2" s="174"/>
      <c r="KV2" s="174"/>
      <c r="KW2" s="174"/>
      <c r="KX2" s="174"/>
      <c r="KY2" s="174"/>
      <c r="KZ2" s="174"/>
      <c r="LA2" s="174"/>
      <c r="LB2" s="174"/>
      <c r="LC2" s="174"/>
      <c r="LD2" s="174"/>
      <c r="LE2" s="174"/>
      <c r="LF2" s="174"/>
      <c r="LG2" s="174"/>
      <c r="LH2" s="174"/>
      <c r="LI2" s="174"/>
      <c r="LJ2" s="174"/>
      <c r="LK2" s="174"/>
      <c r="LL2" s="174"/>
      <c r="LM2" s="174"/>
      <c r="LN2" s="174"/>
      <c r="LO2" s="174"/>
      <c r="LP2" s="174"/>
      <c r="LQ2" s="174"/>
      <c r="LR2" s="174"/>
      <c r="LS2" s="174"/>
      <c r="LT2" s="174"/>
      <c r="LU2" s="174"/>
      <c r="LV2" s="174"/>
      <c r="LW2" s="174"/>
      <c r="LX2" s="174"/>
      <c r="LY2" s="174"/>
      <c r="LZ2" s="174"/>
      <c r="MA2" s="174"/>
      <c r="MB2" s="174"/>
      <c r="MC2" s="174"/>
      <c r="MD2" s="174"/>
      <c r="ME2" s="174"/>
      <c r="MF2" s="174"/>
      <c r="MG2" s="174"/>
      <c r="MH2" s="174"/>
      <c r="MI2" s="174"/>
      <c r="MJ2" s="174"/>
      <c r="MK2" s="174"/>
      <c r="ML2" s="174"/>
      <c r="MM2" s="174"/>
      <c r="MN2" s="174"/>
      <c r="MO2" s="174"/>
      <c r="MP2" s="174"/>
      <c r="MQ2" s="174"/>
      <c r="MR2" s="174"/>
      <c r="MS2" s="174"/>
      <c r="MT2" s="174"/>
      <c r="MU2" s="174"/>
      <c r="MV2" s="174"/>
      <c r="MW2" s="174"/>
      <c r="MX2" s="174"/>
      <c r="MY2" s="175"/>
      <c r="MZ2" s="173" t="s">
        <v>135</v>
      </c>
      <c r="NA2" s="174"/>
      <c r="NB2" s="174"/>
      <c r="NC2" s="174"/>
      <c r="ND2" s="174"/>
      <c r="NE2" s="174"/>
      <c r="NF2" s="174"/>
      <c r="NG2" s="174"/>
      <c r="NH2" s="174"/>
      <c r="NI2" s="174"/>
      <c r="NJ2" s="174"/>
      <c r="NK2" s="174"/>
      <c r="NL2" s="174"/>
      <c r="NM2" s="174"/>
      <c r="NN2" s="174"/>
      <c r="NO2" s="174"/>
      <c r="NP2" s="174"/>
      <c r="NQ2" s="174"/>
      <c r="NR2" s="174"/>
      <c r="NS2" s="174"/>
      <c r="NT2" s="174"/>
      <c r="NU2" s="174"/>
      <c r="NV2" s="174"/>
      <c r="NW2" s="174"/>
      <c r="NX2" s="174"/>
      <c r="NY2" s="174"/>
      <c r="NZ2" s="174"/>
      <c r="OA2" s="174"/>
      <c r="OB2" s="174"/>
      <c r="OC2" s="174"/>
      <c r="OD2" s="174"/>
      <c r="OE2" s="174"/>
      <c r="OF2" s="174"/>
      <c r="OG2" s="174"/>
      <c r="OH2" s="174"/>
      <c r="OI2" s="174"/>
      <c r="OJ2" s="174"/>
      <c r="OK2" s="174"/>
      <c r="OL2" s="174"/>
      <c r="OM2" s="174"/>
      <c r="ON2" s="174"/>
      <c r="OO2" s="174"/>
      <c r="OP2" s="174"/>
      <c r="OQ2" s="174"/>
      <c r="OR2" s="174"/>
      <c r="OS2" s="174"/>
      <c r="OT2" s="174"/>
      <c r="OU2" s="174"/>
      <c r="OV2" s="174"/>
      <c r="OW2" s="174"/>
      <c r="OX2" s="174"/>
      <c r="OY2" s="174"/>
      <c r="OZ2" s="174"/>
      <c r="PA2" s="174"/>
      <c r="PB2" s="174"/>
      <c r="PC2" s="174"/>
      <c r="PD2" s="174"/>
      <c r="PE2" s="174"/>
      <c r="PF2" s="174"/>
      <c r="PG2" s="174"/>
      <c r="PH2" s="174"/>
      <c r="PI2" s="174"/>
      <c r="PJ2" s="174"/>
      <c r="PK2" s="174"/>
      <c r="PL2" s="174"/>
      <c r="PM2" s="174"/>
      <c r="PN2" s="174"/>
      <c r="PO2" s="174"/>
      <c r="PP2" s="174"/>
      <c r="PQ2" s="174"/>
      <c r="PR2" s="174"/>
      <c r="PS2" s="174"/>
      <c r="PT2" s="174"/>
      <c r="PU2" s="174"/>
      <c r="PV2" s="174"/>
      <c r="PW2" s="174"/>
      <c r="PX2" s="174"/>
      <c r="PY2" s="174"/>
      <c r="PZ2" s="174"/>
      <c r="QA2" s="174"/>
      <c r="QB2" s="174"/>
      <c r="QC2" s="174"/>
      <c r="QD2" s="174"/>
      <c r="QE2" s="174"/>
      <c r="QF2" s="174"/>
      <c r="QG2" s="174"/>
      <c r="QH2" s="174"/>
      <c r="QI2" s="174"/>
      <c r="QJ2" s="174"/>
      <c r="QK2" s="175"/>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29</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64"/>
      <c r="GA4" s="167"/>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66"/>
      <c r="KP4" s="164"/>
      <c r="KQ4" s="165"/>
      <c r="KR4" s="166"/>
      <c r="KS4" s="164"/>
      <c r="KT4" s="165"/>
      <c r="KU4" s="166"/>
      <c r="KV4" s="164"/>
      <c r="KW4" s="165"/>
      <c r="KX4" s="166"/>
      <c r="KY4" s="164"/>
      <c r="KZ4" s="165"/>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7"/>
      <c r="C6" s="150">
        <v>16</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66"/>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66"/>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66"/>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66"/>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66"/>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63"/>
      <c r="JO6" s="145"/>
      <c r="JP6" s="146"/>
      <c r="JQ6" s="147"/>
      <c r="JR6" s="145"/>
      <c r="JS6" s="146"/>
      <c r="JT6" s="147"/>
      <c r="JU6" s="145"/>
      <c r="JV6" s="146"/>
      <c r="JW6" s="147"/>
      <c r="JX6" s="145"/>
      <c r="JY6" s="146"/>
      <c r="JZ6" s="166"/>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6"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7"/>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6"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7"/>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6"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7"/>
      <c r="C12" s="150">
        <v>22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64"/>
      <c r="EE12" s="165"/>
      <c r="EF12" s="166"/>
      <c r="EG12" s="164"/>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66"/>
      <c r="FW12" s="164"/>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64"/>
      <c r="HQ12" s="165"/>
      <c r="HR12" s="166"/>
      <c r="HS12" s="164"/>
      <c r="HT12" s="165"/>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64"/>
      <c r="JG12" s="165"/>
      <c r="JH12" s="166"/>
      <c r="JI12" s="164"/>
      <c r="JJ12" s="165"/>
      <c r="JK12" s="166"/>
      <c r="JL12" s="164"/>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64"/>
      <c r="KN12" s="165"/>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6"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7"/>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6"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7"/>
      <c r="C16" s="150">
        <v>58</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66"/>
      <c r="EM16" s="164"/>
      <c r="EN16" s="165"/>
      <c r="EO16" s="166"/>
      <c r="EP16" s="164"/>
      <c r="EQ16" s="165"/>
      <c r="ER16" s="166"/>
      <c r="ES16" s="164"/>
      <c r="ET16" s="165"/>
      <c r="EU16" s="166"/>
      <c r="EV16" s="164"/>
      <c r="EW16" s="165"/>
      <c r="EX16" s="166"/>
      <c r="EY16" s="164"/>
      <c r="EZ16" s="165"/>
      <c r="FA16" s="147"/>
      <c r="FB16" s="145"/>
      <c r="FC16" s="165"/>
      <c r="FD16" s="166"/>
      <c r="FE16" s="164"/>
      <c r="FF16" s="165"/>
      <c r="FG16" s="166"/>
      <c r="FH16" s="164"/>
      <c r="FI16" s="165"/>
      <c r="FJ16" s="166"/>
      <c r="FK16" s="164"/>
      <c r="FL16" s="165"/>
      <c r="FM16" s="166"/>
      <c r="FN16" s="164"/>
      <c r="FO16" s="165"/>
      <c r="FP16" s="166"/>
      <c r="FQ16" s="164"/>
      <c r="FR16" s="165"/>
      <c r="FS16" s="166"/>
      <c r="FT16" s="164"/>
      <c r="FU16" s="165"/>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64"/>
      <c r="GV16" s="165"/>
      <c r="GW16" s="166"/>
      <c r="GX16" s="164"/>
      <c r="GY16" s="165"/>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6"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7"/>
      <c r="C18" s="150">
        <v>35</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66"/>
      <c r="GR18" s="164"/>
      <c r="GS18" s="165"/>
      <c r="GT18" s="166"/>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66"/>
      <c r="HV18" s="164"/>
      <c r="HW18" s="165"/>
      <c r="HX18" s="166"/>
      <c r="HY18" s="164"/>
      <c r="HZ18" s="165"/>
      <c r="IA18" s="147"/>
      <c r="IB18" s="145"/>
      <c r="IC18" s="146"/>
      <c r="ID18" s="147"/>
      <c r="IE18" s="145"/>
      <c r="IF18" s="146"/>
      <c r="IG18" s="147"/>
      <c r="IH18" s="145"/>
      <c r="II18" s="146"/>
      <c r="IJ18" s="147"/>
      <c r="IK18" s="145"/>
      <c r="IL18" s="146"/>
      <c r="IM18" s="147"/>
      <c r="IN18" s="164"/>
      <c r="IO18" s="165"/>
      <c r="IP18" s="166"/>
      <c r="IQ18" s="164"/>
      <c r="IR18" s="165"/>
      <c r="IS18" s="166"/>
      <c r="IT18" s="164"/>
      <c r="IU18" s="165"/>
      <c r="IV18" s="147"/>
      <c r="IW18" s="145"/>
      <c r="IX18" s="146"/>
      <c r="IY18" s="147"/>
      <c r="IZ18" s="145"/>
      <c r="JA18" s="146"/>
      <c r="JB18" s="147"/>
      <c r="JC18" s="145"/>
      <c r="JD18" s="146"/>
      <c r="JE18" s="147"/>
      <c r="JF18" s="145"/>
      <c r="JG18" s="146"/>
      <c r="JH18" s="147"/>
      <c r="JI18" s="145"/>
      <c r="JJ18" s="146"/>
      <c r="JK18" s="147"/>
      <c r="JL18" s="145"/>
      <c r="JM18" s="148"/>
      <c r="JN18" s="144"/>
      <c r="JO18" s="164"/>
      <c r="JP18" s="165"/>
      <c r="JQ18" s="166"/>
      <c r="JR18" s="145"/>
      <c r="JS18" s="146"/>
      <c r="JT18" s="147"/>
      <c r="JU18" s="145"/>
      <c r="JV18" s="146"/>
      <c r="JW18" s="147"/>
      <c r="JX18" s="145"/>
      <c r="JY18" s="146"/>
      <c r="JZ18" s="147"/>
      <c r="KA18" s="164"/>
      <c r="KB18" s="165"/>
      <c r="KC18" s="166"/>
      <c r="KD18" s="164"/>
      <c r="KE18" s="165"/>
      <c r="KF18" s="166"/>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6"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7"/>
      <c r="C20" s="150">
        <v>7</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64"/>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67"/>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6"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7"/>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6"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7"/>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6"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7"/>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47"/>
      <c r="ED26" s="145"/>
      <c r="EE26" s="146"/>
      <c r="EF26" s="147"/>
      <c r="EG26" s="145"/>
      <c r="EH26" s="146"/>
      <c r="EI26" s="147"/>
      <c r="EJ26" s="145"/>
      <c r="EK26" s="146"/>
      <c r="EL26" s="147"/>
      <c r="EM26" s="145"/>
      <c r="EN26" s="146"/>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63"/>
      <c r="GC26" s="164"/>
      <c r="GD26" s="165"/>
      <c r="GE26" s="166"/>
      <c r="GF26" s="164"/>
      <c r="GG26" s="165"/>
      <c r="GH26" s="166"/>
      <c r="GI26" s="164"/>
      <c r="GJ26" s="165"/>
      <c r="GK26" s="166"/>
      <c r="GL26" s="164"/>
      <c r="GM26" s="165"/>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6"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7"/>
      <c r="C28" s="150">
        <v>51</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66"/>
      <c r="HA28" s="164"/>
      <c r="HB28" s="165"/>
      <c r="HC28" s="166"/>
      <c r="HD28" s="164"/>
      <c r="HE28" s="165"/>
      <c r="HF28" s="166"/>
      <c r="HG28" s="164"/>
      <c r="HH28" s="165"/>
      <c r="HI28" s="166"/>
      <c r="HJ28" s="164"/>
      <c r="HK28" s="165"/>
      <c r="HL28" s="166"/>
      <c r="HM28" s="164"/>
      <c r="HN28" s="165"/>
      <c r="HO28" s="147"/>
      <c r="HP28" s="145"/>
      <c r="HQ28" s="146"/>
      <c r="HR28" s="147"/>
      <c r="HS28" s="145"/>
      <c r="HT28" s="146"/>
      <c r="HU28" s="147"/>
      <c r="HV28" s="145"/>
      <c r="HW28" s="146"/>
      <c r="HX28" s="147"/>
      <c r="HY28" s="145"/>
      <c r="HZ28" s="146"/>
      <c r="IA28" s="166"/>
      <c r="IB28" s="164"/>
      <c r="IC28" s="165"/>
      <c r="ID28" s="166"/>
      <c r="IE28" s="164"/>
      <c r="IF28" s="165"/>
      <c r="IG28" s="166"/>
      <c r="IH28" s="164"/>
      <c r="II28" s="165"/>
      <c r="IJ28" s="166"/>
      <c r="IK28" s="164"/>
      <c r="IL28" s="165"/>
      <c r="IM28" s="147"/>
      <c r="IN28" s="145"/>
      <c r="IO28" s="146"/>
      <c r="IP28" s="147"/>
      <c r="IQ28" s="145"/>
      <c r="IR28" s="146"/>
      <c r="IS28" s="147"/>
      <c r="IT28" s="145"/>
      <c r="IU28" s="146"/>
      <c r="IV28" s="166"/>
      <c r="IW28" s="164"/>
      <c r="IX28" s="165"/>
      <c r="IY28" s="166"/>
      <c r="IZ28" s="164"/>
      <c r="JA28" s="165"/>
      <c r="JB28" s="166"/>
      <c r="JC28" s="164"/>
      <c r="JD28" s="165"/>
      <c r="JE28" s="166"/>
      <c r="JF28" s="145"/>
      <c r="JG28" s="146"/>
      <c r="JH28" s="147"/>
      <c r="JI28" s="145"/>
      <c r="JJ28" s="146"/>
      <c r="JK28" s="147"/>
      <c r="JL28" s="145"/>
      <c r="JM28" s="148"/>
      <c r="JN28" s="144"/>
      <c r="JO28" s="145"/>
      <c r="JP28" s="146"/>
      <c r="JQ28" s="147"/>
      <c r="JR28" s="164"/>
      <c r="JS28" s="165"/>
      <c r="JT28" s="166"/>
      <c r="JU28" s="164"/>
      <c r="JV28" s="165"/>
      <c r="JW28" s="166"/>
      <c r="JX28" s="164"/>
      <c r="JY28" s="165"/>
      <c r="JZ28" s="147"/>
      <c r="KA28" s="145"/>
      <c r="KB28" s="146"/>
      <c r="KC28" s="147"/>
      <c r="KD28" s="145"/>
      <c r="KE28" s="146"/>
      <c r="KF28" s="147"/>
      <c r="KG28" s="164"/>
      <c r="KH28" s="165"/>
      <c r="KI28" s="166"/>
      <c r="KJ28" s="164"/>
      <c r="KK28" s="165"/>
      <c r="KL28" s="166"/>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6"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7"/>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6"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7"/>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6"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7"/>
      <c r="C34" s="150">
        <v>12</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65"/>
      <c r="EI34" s="166"/>
      <c r="EJ34" s="164"/>
      <c r="EK34" s="165"/>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65"/>
      <c r="FY34" s="166"/>
      <c r="FZ34" s="145"/>
      <c r="GA34" s="148"/>
      <c r="GB34" s="144"/>
      <c r="GC34" s="145"/>
      <c r="GD34" s="146"/>
      <c r="GE34" s="147"/>
      <c r="GF34" s="145"/>
      <c r="GG34" s="146"/>
      <c r="GH34" s="147"/>
      <c r="GI34" s="145"/>
      <c r="GJ34" s="146"/>
      <c r="GK34" s="147"/>
      <c r="GL34" s="145"/>
      <c r="GM34" s="146"/>
      <c r="GN34" s="147"/>
      <c r="GO34" s="164"/>
      <c r="GP34" s="165"/>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6"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7"/>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309</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73"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5"/>
  <sheetViews>
    <sheetView tabSelected="1" topLeftCell="A104" zoomScaleNormal="100" workbookViewId="0">
      <selection activeCell="C105" sqref="C105"/>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54" x14ac:dyDescent="0.25">
      <c r="A67" s="170" t="s">
        <v>27</v>
      </c>
      <c r="B67" s="170">
        <v>1</v>
      </c>
      <c r="C67" s="135" t="s">
        <v>48</v>
      </c>
      <c r="D67" s="135" t="s">
        <v>172</v>
      </c>
    </row>
    <row r="68" spans="1:4" ht="148.5" x14ac:dyDescent="0.25">
      <c r="A68" s="2" t="s">
        <v>57</v>
      </c>
      <c r="B68" s="2">
        <v>5</v>
      </c>
      <c r="C68" s="101" t="s">
        <v>175</v>
      </c>
      <c r="D68" s="101" t="s">
        <v>161</v>
      </c>
    </row>
    <row r="69" spans="1:4" ht="27" x14ac:dyDescent="0.25">
      <c r="A69" s="51" t="s">
        <v>30</v>
      </c>
      <c r="B69" s="51">
        <v>6</v>
      </c>
      <c r="C69" s="131" t="s">
        <v>174</v>
      </c>
      <c r="D69" s="131"/>
    </row>
    <row r="70" spans="1:4" ht="81" x14ac:dyDescent="0.25">
      <c r="A70" s="51" t="s">
        <v>54</v>
      </c>
      <c r="B70" s="51">
        <v>12</v>
      </c>
      <c r="C70" s="131" t="s">
        <v>173</v>
      </c>
      <c r="D70" s="131" t="s">
        <v>161</v>
      </c>
    </row>
    <row r="71" spans="1:4" x14ac:dyDescent="0.25">
      <c r="A71" s="168"/>
      <c r="B71" s="168"/>
      <c r="C71" s="169"/>
      <c r="D71" s="169"/>
    </row>
    <row r="72" spans="1:4" ht="14.25" x14ac:dyDescent="0.25">
      <c r="A72" s="116" t="s">
        <v>69</v>
      </c>
      <c r="B72" s="117">
        <f>SUM(B73:B78)</f>
        <v>27</v>
      </c>
      <c r="C72" s="118" t="s">
        <v>36</v>
      </c>
      <c r="D72" s="119"/>
    </row>
    <row r="73" spans="1:4" ht="40.5" x14ac:dyDescent="0.25">
      <c r="A73" s="170" t="s">
        <v>27</v>
      </c>
      <c r="B73" s="170">
        <v>1</v>
      </c>
      <c r="C73" s="135" t="s">
        <v>48</v>
      </c>
      <c r="D73" s="135" t="s">
        <v>91</v>
      </c>
    </row>
    <row r="74" spans="1:4" ht="40.5" x14ac:dyDescent="0.25">
      <c r="A74" s="93" t="s">
        <v>30</v>
      </c>
      <c r="B74" s="93">
        <v>8</v>
      </c>
      <c r="C74" s="110" t="s">
        <v>177</v>
      </c>
      <c r="D74" s="110"/>
    </row>
    <row r="75" spans="1:4" ht="81" x14ac:dyDescent="0.25">
      <c r="A75" s="2" t="s">
        <v>54</v>
      </c>
      <c r="B75" s="2">
        <v>10</v>
      </c>
      <c r="C75" s="101" t="s">
        <v>178</v>
      </c>
      <c r="D75" s="101" t="s">
        <v>161</v>
      </c>
    </row>
    <row r="76" spans="1:4" ht="121.5" x14ac:dyDescent="0.25">
      <c r="A76" s="51" t="s">
        <v>57</v>
      </c>
      <c r="B76" s="51">
        <v>7</v>
      </c>
      <c r="C76" s="131" t="s">
        <v>179</v>
      </c>
      <c r="D76" s="131" t="s">
        <v>161</v>
      </c>
    </row>
    <row r="77" spans="1:4" ht="54" x14ac:dyDescent="0.25">
      <c r="A77" s="51" t="s">
        <v>31</v>
      </c>
      <c r="B77" s="51">
        <v>1</v>
      </c>
      <c r="C77" s="131" t="s">
        <v>176</v>
      </c>
      <c r="D77" s="131"/>
    </row>
    <row r="78" spans="1:4" ht="14.25" thickBot="1" x14ac:dyDescent="0.3">
      <c r="A78" s="51"/>
      <c r="B78" s="51"/>
      <c r="C78" s="52"/>
      <c r="D78" s="52"/>
    </row>
    <row r="79" spans="1:4" ht="14.25" thickBot="1" x14ac:dyDescent="0.3">
      <c r="A79" s="48" t="s">
        <v>22</v>
      </c>
      <c r="B79" s="48">
        <f>SUM(B57:B58,B60:B65,B67:B71,B73:B78)</f>
        <v>90</v>
      </c>
      <c r="C79" s="90" t="s">
        <v>38</v>
      </c>
      <c r="D79" s="49"/>
    </row>
    <row r="80" spans="1:4" ht="15" thickBot="1" x14ac:dyDescent="0.35">
      <c r="A80" s="50"/>
      <c r="B80" s="50"/>
      <c r="C80" s="50"/>
      <c r="D80" s="50"/>
    </row>
    <row r="81" spans="1:4" ht="18.75" thickBot="1" x14ac:dyDescent="0.3">
      <c r="A81" s="43" t="s">
        <v>14</v>
      </c>
      <c r="B81" s="44">
        <v>4</v>
      </c>
      <c r="C81" s="45" t="s">
        <v>23</v>
      </c>
      <c r="D81" s="54">
        <f>$D$54+7</f>
        <v>43248</v>
      </c>
    </row>
    <row r="82" spans="1:4" ht="27.75" thickBot="1" x14ac:dyDescent="0.3">
      <c r="A82" s="46" t="s">
        <v>3</v>
      </c>
      <c r="B82" s="47" t="s">
        <v>15</v>
      </c>
      <c r="C82" s="46" t="s">
        <v>7</v>
      </c>
      <c r="D82" s="46" t="s">
        <v>13</v>
      </c>
    </row>
    <row r="83" spans="1:4" ht="14.25" x14ac:dyDescent="0.25">
      <c r="A83" s="121" t="s">
        <v>62</v>
      </c>
      <c r="B83" s="122">
        <f>SUM(B84:B87)</f>
        <v>12</v>
      </c>
      <c r="C83" s="123" t="s">
        <v>35</v>
      </c>
      <c r="D83" s="124"/>
    </row>
    <row r="84" spans="1:4" ht="40.5" x14ac:dyDescent="0.25">
      <c r="A84" s="92" t="s">
        <v>27</v>
      </c>
      <c r="B84" s="93">
        <v>1</v>
      </c>
      <c r="C84" s="110" t="s">
        <v>48</v>
      </c>
      <c r="D84" s="110" t="s">
        <v>91</v>
      </c>
    </row>
    <row r="85" spans="1:4" ht="54" x14ac:dyDescent="0.25">
      <c r="A85" s="91" t="s">
        <v>30</v>
      </c>
      <c r="B85" s="2">
        <v>3</v>
      </c>
      <c r="C85" s="101" t="s">
        <v>180</v>
      </c>
      <c r="D85" s="101" t="s">
        <v>185</v>
      </c>
    </row>
    <row r="86" spans="1:4" ht="54" x14ac:dyDescent="0.25">
      <c r="A86" s="91" t="s">
        <v>54</v>
      </c>
      <c r="B86" s="2">
        <v>8</v>
      </c>
      <c r="C86" s="101" t="s">
        <v>183</v>
      </c>
      <c r="D86" s="101" t="s">
        <v>161</v>
      </c>
    </row>
    <row r="87" spans="1:4" x14ac:dyDescent="0.25">
      <c r="A87" s="95"/>
      <c r="B87" s="51"/>
      <c r="C87" s="52"/>
      <c r="D87" s="52"/>
    </row>
    <row r="88" spans="1:4" ht="14.25" x14ac:dyDescent="0.25">
      <c r="A88" s="120" t="s">
        <v>63</v>
      </c>
      <c r="B88" s="117">
        <f>SUM(B89:B94)</f>
        <v>27</v>
      </c>
      <c r="C88" s="118" t="s">
        <v>36</v>
      </c>
      <c r="D88" s="119"/>
    </row>
    <row r="89" spans="1:4" ht="40.5" x14ac:dyDescent="0.25">
      <c r="A89" s="2" t="s">
        <v>27</v>
      </c>
      <c r="B89" s="2">
        <v>1</v>
      </c>
      <c r="C89" s="101" t="s">
        <v>48</v>
      </c>
      <c r="D89" s="101" t="s">
        <v>91</v>
      </c>
    </row>
    <row r="90" spans="1:4" ht="54" x14ac:dyDescent="0.25">
      <c r="A90" s="51" t="s">
        <v>30</v>
      </c>
      <c r="B90" s="51">
        <v>6</v>
      </c>
      <c r="C90" s="131" t="s">
        <v>182</v>
      </c>
      <c r="D90" s="131" t="s">
        <v>184</v>
      </c>
    </row>
    <row r="91" spans="1:4" ht="83.25" x14ac:dyDescent="0.25">
      <c r="A91" s="51" t="s">
        <v>54</v>
      </c>
      <c r="B91" s="51">
        <v>6</v>
      </c>
      <c r="C91" s="131" t="s">
        <v>186</v>
      </c>
      <c r="D91" s="131" t="s">
        <v>161</v>
      </c>
    </row>
    <row r="92" spans="1:4" ht="27" x14ac:dyDescent="0.25">
      <c r="A92" s="51" t="s">
        <v>57</v>
      </c>
      <c r="B92" s="51">
        <v>2</v>
      </c>
      <c r="C92" s="131" t="s">
        <v>187</v>
      </c>
      <c r="D92" s="131" t="s">
        <v>161</v>
      </c>
    </row>
    <row r="93" spans="1:4" x14ac:dyDescent="0.25">
      <c r="A93" s="51" t="s">
        <v>21</v>
      </c>
      <c r="B93" s="51">
        <v>12</v>
      </c>
      <c r="C93" s="131" t="s">
        <v>181</v>
      </c>
      <c r="D93" s="52"/>
    </row>
    <row r="94" spans="1:4" x14ac:dyDescent="0.25">
      <c r="A94" s="51"/>
      <c r="B94" s="51"/>
      <c r="C94" s="52"/>
      <c r="D94" s="52"/>
    </row>
    <row r="95" spans="1:4" ht="14.25" x14ac:dyDescent="0.25">
      <c r="A95" s="116" t="s">
        <v>64</v>
      </c>
      <c r="B95" s="117">
        <f>SUM(B96:B100)</f>
        <v>24</v>
      </c>
      <c r="C95" s="118" t="s">
        <v>37</v>
      </c>
      <c r="D95" s="119"/>
    </row>
    <row r="96" spans="1:4" ht="40.5" x14ac:dyDescent="0.25">
      <c r="A96" s="93" t="s">
        <v>27</v>
      </c>
      <c r="B96" s="93">
        <v>1</v>
      </c>
      <c r="C96" s="110" t="s">
        <v>48</v>
      </c>
      <c r="D96" s="110" t="s">
        <v>91</v>
      </c>
    </row>
    <row r="97" spans="1:4" ht="27" x14ac:dyDescent="0.25">
      <c r="A97" s="2" t="s">
        <v>57</v>
      </c>
      <c r="B97" s="2">
        <v>9</v>
      </c>
      <c r="C97" s="101" t="s">
        <v>190</v>
      </c>
      <c r="D97" s="101" t="s">
        <v>161</v>
      </c>
    </row>
    <row r="98" spans="1:4" ht="94.5" x14ac:dyDescent="0.25">
      <c r="A98" s="2" t="s">
        <v>28</v>
      </c>
      <c r="B98" s="2">
        <v>10</v>
      </c>
      <c r="C98" s="101" t="s">
        <v>191</v>
      </c>
      <c r="D98" s="101" t="s">
        <v>92</v>
      </c>
    </row>
    <row r="99" spans="1:4" ht="54" x14ac:dyDescent="0.25">
      <c r="A99" s="51" t="s">
        <v>78</v>
      </c>
      <c r="B99" s="51">
        <v>4</v>
      </c>
      <c r="C99" s="131" t="s">
        <v>188</v>
      </c>
      <c r="D99" s="131" t="s">
        <v>189</v>
      </c>
    </row>
    <row r="100" spans="1:4" x14ac:dyDescent="0.25">
      <c r="A100" s="168"/>
      <c r="B100" s="168"/>
      <c r="C100" s="169"/>
      <c r="D100" s="169"/>
    </row>
    <row r="101" spans="1:4" ht="14.25" x14ac:dyDescent="0.25">
      <c r="A101" s="116" t="s">
        <v>65</v>
      </c>
      <c r="B101" s="117">
        <f>SUM(B102:B106)</f>
        <v>27</v>
      </c>
      <c r="C101" s="118" t="s">
        <v>36</v>
      </c>
      <c r="D101" s="119"/>
    </row>
    <row r="102" spans="1:4" ht="40.5" x14ac:dyDescent="0.25">
      <c r="A102" s="170" t="s">
        <v>27</v>
      </c>
      <c r="B102" s="170">
        <v>1</v>
      </c>
      <c r="C102" s="135" t="s">
        <v>48</v>
      </c>
      <c r="D102" s="135" t="s">
        <v>91</v>
      </c>
    </row>
    <row r="103" spans="1:4" ht="54" x14ac:dyDescent="0.25">
      <c r="A103" s="93" t="s">
        <v>30</v>
      </c>
      <c r="B103" s="93">
        <v>8</v>
      </c>
      <c r="C103" s="110" t="s">
        <v>193</v>
      </c>
      <c r="D103" s="110"/>
    </row>
    <row r="104" spans="1:4" ht="94.5" x14ac:dyDescent="0.25">
      <c r="A104" s="2" t="s">
        <v>54</v>
      </c>
      <c r="B104" s="2">
        <v>16</v>
      </c>
      <c r="C104" s="101" t="s">
        <v>194</v>
      </c>
      <c r="D104" s="101" t="s">
        <v>161</v>
      </c>
    </row>
    <row r="105" spans="1:4" ht="40.5" x14ac:dyDescent="0.25">
      <c r="A105" s="51" t="s">
        <v>31</v>
      </c>
      <c r="B105" s="51">
        <v>2</v>
      </c>
      <c r="C105" s="131" t="s">
        <v>192</v>
      </c>
      <c r="D105" s="131"/>
    </row>
    <row r="106" spans="1:4" ht="14.25" thickBot="1" x14ac:dyDescent="0.3">
      <c r="A106" s="51"/>
      <c r="B106" s="51"/>
      <c r="C106" s="52"/>
      <c r="D106" s="52"/>
    </row>
    <row r="107" spans="1:4" ht="14.25" thickBot="1" x14ac:dyDescent="0.3">
      <c r="A107" s="48" t="s">
        <v>22</v>
      </c>
      <c r="B107" s="48">
        <f>SUM(B84:B87,B89:B94,B96:B100,B102:B106)</f>
        <v>90</v>
      </c>
      <c r="C107" s="90" t="s">
        <v>38</v>
      </c>
      <c r="D107" s="49"/>
    </row>
    <row r="108" spans="1:4" ht="15" thickBot="1" x14ac:dyDescent="0.35">
      <c r="A108" s="50"/>
      <c r="B108" s="50"/>
      <c r="C108" s="50"/>
      <c r="D108" s="50"/>
    </row>
    <row r="109" spans="1:4" ht="18.75" thickBot="1" x14ac:dyDescent="0.3">
      <c r="A109" s="43" t="s">
        <v>14</v>
      </c>
      <c r="B109" s="44">
        <v>5</v>
      </c>
      <c r="C109" s="45" t="s">
        <v>23</v>
      </c>
      <c r="D109" s="54">
        <f>$D$81+7</f>
        <v>43255</v>
      </c>
    </row>
    <row r="110" spans="1:4" ht="27.75" thickBot="1" x14ac:dyDescent="0.3">
      <c r="A110" s="46" t="s">
        <v>3</v>
      </c>
      <c r="B110" s="47" t="s">
        <v>15</v>
      </c>
      <c r="C110" s="46" t="s">
        <v>7</v>
      </c>
      <c r="D110" s="46" t="s">
        <v>13</v>
      </c>
    </row>
    <row r="111" spans="1:4" ht="14.25" x14ac:dyDescent="0.25">
      <c r="A111" s="121" t="s">
        <v>61</v>
      </c>
      <c r="B111" s="122">
        <f>SUM(B112:B113)</f>
        <v>0</v>
      </c>
      <c r="C111" s="123" t="s">
        <v>35</v>
      </c>
      <c r="D111" s="124"/>
    </row>
    <row r="112" spans="1:4" x14ac:dyDescent="0.25">
      <c r="A112" s="92"/>
      <c r="B112" s="93"/>
      <c r="C112" s="110"/>
      <c r="D112" s="94"/>
    </row>
    <row r="113" spans="1:4" x14ac:dyDescent="0.25">
      <c r="A113" s="92"/>
      <c r="B113" s="93"/>
      <c r="C113" s="110"/>
      <c r="D113" s="110"/>
    </row>
    <row r="114" spans="1:4" ht="14.25" x14ac:dyDescent="0.25">
      <c r="A114" s="120" t="s">
        <v>60</v>
      </c>
      <c r="B114" s="117">
        <f>SUM(B115:B116)</f>
        <v>0</v>
      </c>
      <c r="C114" s="118" t="s">
        <v>36</v>
      </c>
      <c r="D114" s="119"/>
    </row>
    <row r="115" spans="1:4" x14ac:dyDescent="0.25">
      <c r="A115" s="2"/>
      <c r="B115" s="2"/>
      <c r="C115" s="101"/>
      <c r="D115" s="10"/>
    </row>
    <row r="116" spans="1:4" x14ac:dyDescent="0.25">
      <c r="A116" s="51"/>
      <c r="B116" s="51"/>
      <c r="C116" s="52"/>
      <c r="D116" s="52"/>
    </row>
    <row r="117" spans="1:4" ht="14.25" x14ac:dyDescent="0.25">
      <c r="A117" s="116" t="s">
        <v>58</v>
      </c>
      <c r="B117" s="117">
        <f>SUM(B118:B119)</f>
        <v>0</v>
      </c>
      <c r="C117" s="118" t="s">
        <v>37</v>
      </c>
      <c r="D117" s="119"/>
    </row>
    <row r="118" spans="1:4" x14ac:dyDescent="0.25">
      <c r="A118" s="93"/>
      <c r="B118" s="93"/>
      <c r="C118" s="110"/>
      <c r="D118" s="94"/>
    </row>
    <row r="119" spans="1:4" x14ac:dyDescent="0.25">
      <c r="A119" s="99"/>
      <c r="B119" s="99"/>
      <c r="C119" s="100"/>
      <c r="D119" s="100"/>
    </row>
    <row r="120" spans="1:4" ht="14.25" x14ac:dyDescent="0.25">
      <c r="A120" s="116" t="s">
        <v>59</v>
      </c>
      <c r="B120" s="117">
        <f>SUM(B121:B122)</f>
        <v>0</v>
      </c>
      <c r="C120" s="118" t="s">
        <v>36</v>
      </c>
      <c r="D120" s="119"/>
    </row>
    <row r="121" spans="1:4" x14ac:dyDescent="0.25">
      <c r="A121" s="99"/>
      <c r="B121" s="99"/>
      <c r="C121" s="112"/>
      <c r="D121" s="100"/>
    </row>
    <row r="122" spans="1:4" ht="14.25" thickBot="1" x14ac:dyDescent="0.3">
      <c r="A122" s="51"/>
      <c r="B122" s="51"/>
      <c r="C122" s="52"/>
      <c r="D122" s="52"/>
    </row>
    <row r="123" spans="1:4" ht="14.25" thickBot="1" x14ac:dyDescent="0.3">
      <c r="A123" s="48" t="s">
        <v>22</v>
      </c>
      <c r="B123" s="48">
        <f>SUM(B112:B113,B115:B116,B118:B119,B121:B122)</f>
        <v>0</v>
      </c>
      <c r="C123" s="90" t="s">
        <v>38</v>
      </c>
      <c r="D123" s="49"/>
    </row>
    <row r="124" spans="1:4" ht="14.25" x14ac:dyDescent="0.3">
      <c r="A124" s="50"/>
      <c r="B124" s="50"/>
      <c r="C124" s="50"/>
      <c r="D124" s="50"/>
    </row>
    <row r="125" spans="1:4" x14ac:dyDescent="0.25">
      <c r="A125"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8 B83:B106 B111:B122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107 B79 B123">
      <formula1>0</formula1>
      <formula2>NbPerWeek * NbQuartPer</formula2>
    </dataValidation>
    <dataValidation type="list" allowBlank="1" showInputMessage="1" showErrorMessage="1" sqref="A102:A106 A15:A16 A18:A19 A45:A51 A67:A71 A73:A78 A96:A100 A112:A113 A118:A119 A121:A122 A57:A58 A4:A7 A9:A13 A31:A37 A60:A65 A84:A87 A89:A94 A115:A116 A25:A29 A39:A43">
      <formula1>lstTasks</formula1>
    </dataValidation>
  </dataValidations>
  <pageMargins left="0.7" right="0.7" top="0.75" bottom="0.75" header="0.3" footer="0.3"/>
  <pageSetup paperSize="8" scale="61" fitToHeight="0"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2018-05-30T10:04:21Z</cp:lastPrinted>
  <dcterms:created xsi:type="dcterms:W3CDTF">1996-10-21T11:03:58Z</dcterms:created>
  <dcterms:modified xsi:type="dcterms:W3CDTF">2018-06-01T14:30:35Z</dcterms:modified>
</cp:coreProperties>
</file>