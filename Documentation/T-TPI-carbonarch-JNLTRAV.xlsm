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00" i="156"/>
  <c r="B97" i="156"/>
  <c r="B94" i="156"/>
  <c r="B91" i="156"/>
  <c r="B88" i="156"/>
  <c r="B84" i="156"/>
  <c r="B81" i="156"/>
  <c r="B78" i="156"/>
  <c r="B75" i="156"/>
  <c r="B72" i="156"/>
  <c r="B68" i="156"/>
  <c r="B65" i="156"/>
  <c r="B62" i="156"/>
  <c r="B59" i="156"/>
  <c r="B56" i="156"/>
  <c r="B52" i="156"/>
  <c r="B44" i="156"/>
  <c r="B38" i="156"/>
  <c r="B30" i="156"/>
  <c r="B24" i="156"/>
  <c r="B17" i="156"/>
  <c r="B3" i="156"/>
  <c r="B19" i="155"/>
  <c r="B15" i="155"/>
  <c r="B8" i="155"/>
  <c r="B3" i="155"/>
  <c r="D1" i="156"/>
  <c r="D22" i="156" s="1"/>
  <c r="D54" i="156" s="1"/>
  <c r="B132" i="155" l="1"/>
  <c r="B108" i="155"/>
  <c r="B79" i="155"/>
  <c r="B51" i="155"/>
  <c r="B23" i="155"/>
  <c r="D70" i="156"/>
  <c r="D86" i="156" s="1"/>
  <c r="B18" i="154"/>
  <c r="B13" i="11" l="1"/>
</calcChain>
</file>

<file path=xl/sharedStrings.xml><?xml version="1.0" encoding="utf-8"?>
<sst xmlns="http://schemas.openxmlformats.org/spreadsheetml/2006/main" count="439" uniqueCount="166">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</sst>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6"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5" t="s">
        <v>131</v>
      </c>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c r="BO2" s="176"/>
      <c r="BP2" s="176"/>
      <c r="BQ2" s="176"/>
      <c r="BR2" s="176"/>
      <c r="BS2" s="176"/>
      <c r="BT2" s="176"/>
      <c r="BU2" s="176"/>
      <c r="BV2" s="176"/>
      <c r="BW2" s="176"/>
      <c r="BX2" s="176"/>
      <c r="BY2" s="176"/>
      <c r="BZ2" s="176"/>
      <c r="CA2" s="176"/>
      <c r="CB2" s="176"/>
      <c r="CC2" s="176"/>
      <c r="CD2" s="176"/>
      <c r="CE2" s="176"/>
      <c r="CF2" s="176"/>
      <c r="CG2" s="176"/>
      <c r="CH2" s="176"/>
      <c r="CI2" s="176"/>
      <c r="CJ2" s="176"/>
      <c r="CK2" s="176"/>
      <c r="CL2" s="176"/>
      <c r="CM2" s="176"/>
      <c r="CN2" s="176"/>
      <c r="CO2" s="177"/>
      <c r="CP2" s="175" t="s">
        <v>132</v>
      </c>
      <c r="CQ2" s="176"/>
      <c r="CR2" s="176"/>
      <c r="CS2" s="176"/>
      <c r="CT2" s="176"/>
      <c r="CU2" s="176"/>
      <c r="CV2" s="176"/>
      <c r="CW2" s="176"/>
      <c r="CX2" s="176"/>
      <c r="CY2" s="176"/>
      <c r="CZ2" s="176"/>
      <c r="DA2" s="176"/>
      <c r="DB2" s="176"/>
      <c r="DC2" s="176"/>
      <c r="DD2" s="176"/>
      <c r="DE2" s="176"/>
      <c r="DF2" s="176"/>
      <c r="DG2" s="176"/>
      <c r="DH2" s="176"/>
      <c r="DI2" s="176"/>
      <c r="DJ2" s="176"/>
      <c r="DK2" s="176"/>
      <c r="DL2" s="176"/>
      <c r="DM2" s="176"/>
      <c r="DN2" s="176"/>
      <c r="DO2" s="176"/>
      <c r="DP2" s="176"/>
      <c r="DQ2" s="176"/>
      <c r="DR2" s="176"/>
      <c r="DS2" s="176"/>
      <c r="DT2" s="176"/>
      <c r="DU2" s="176"/>
      <c r="DV2" s="176"/>
      <c r="DW2" s="176"/>
      <c r="DX2" s="176"/>
      <c r="DY2" s="176"/>
      <c r="DZ2" s="176"/>
      <c r="EA2" s="176"/>
      <c r="EB2" s="176"/>
      <c r="EC2" s="176"/>
      <c r="ED2" s="176"/>
      <c r="EE2" s="176"/>
      <c r="EF2" s="176"/>
      <c r="EG2" s="176"/>
      <c r="EH2" s="176"/>
      <c r="EI2" s="176"/>
      <c r="EJ2" s="176"/>
      <c r="EK2" s="176"/>
      <c r="EL2" s="176"/>
      <c r="EM2" s="176"/>
      <c r="EN2" s="176"/>
      <c r="EO2" s="176"/>
      <c r="EP2" s="176"/>
      <c r="EQ2" s="176"/>
      <c r="ER2" s="176"/>
      <c r="ES2" s="176"/>
      <c r="ET2" s="176"/>
      <c r="EU2" s="176"/>
      <c r="EV2" s="176"/>
      <c r="EW2" s="176"/>
      <c r="EX2" s="176"/>
      <c r="EY2" s="176"/>
      <c r="EZ2" s="176"/>
      <c r="FA2" s="176"/>
      <c r="FB2" s="176"/>
      <c r="FC2" s="176"/>
      <c r="FD2" s="176"/>
      <c r="FE2" s="176"/>
      <c r="FF2" s="176"/>
      <c r="FG2" s="176"/>
      <c r="FH2" s="176"/>
      <c r="FI2" s="176"/>
      <c r="FJ2" s="176"/>
      <c r="FK2" s="176"/>
      <c r="FL2" s="176"/>
      <c r="FM2" s="176"/>
      <c r="FN2" s="176"/>
      <c r="FO2" s="176"/>
      <c r="FP2" s="176"/>
      <c r="FQ2" s="176"/>
      <c r="FR2" s="176"/>
      <c r="FS2" s="176"/>
      <c r="FT2" s="176"/>
      <c r="FU2" s="176"/>
      <c r="FV2" s="176"/>
      <c r="FW2" s="176"/>
      <c r="FX2" s="176"/>
      <c r="FY2" s="176"/>
      <c r="FZ2" s="176"/>
      <c r="GA2" s="177"/>
      <c r="GB2" s="175" t="s">
        <v>133</v>
      </c>
      <c r="GC2" s="176"/>
      <c r="GD2" s="176"/>
      <c r="GE2" s="176"/>
      <c r="GF2" s="176"/>
      <c r="GG2" s="176"/>
      <c r="GH2" s="176"/>
      <c r="GI2" s="176"/>
      <c r="GJ2" s="176"/>
      <c r="GK2" s="176"/>
      <c r="GL2" s="176"/>
      <c r="GM2" s="176"/>
      <c r="GN2" s="176"/>
      <c r="GO2" s="176"/>
      <c r="GP2" s="176"/>
      <c r="GQ2" s="176"/>
      <c r="GR2" s="176"/>
      <c r="GS2" s="176"/>
      <c r="GT2" s="176"/>
      <c r="GU2" s="176"/>
      <c r="GV2" s="176"/>
      <c r="GW2" s="176"/>
      <c r="GX2" s="176"/>
      <c r="GY2" s="176"/>
      <c r="GZ2" s="176"/>
      <c r="HA2" s="176"/>
      <c r="HB2" s="176"/>
      <c r="HC2" s="176"/>
      <c r="HD2" s="176"/>
      <c r="HE2" s="176"/>
      <c r="HF2" s="176"/>
      <c r="HG2" s="176"/>
      <c r="HH2" s="176"/>
      <c r="HI2" s="176"/>
      <c r="HJ2" s="176"/>
      <c r="HK2" s="176"/>
      <c r="HL2" s="176"/>
      <c r="HM2" s="176"/>
      <c r="HN2" s="176"/>
      <c r="HO2" s="176"/>
      <c r="HP2" s="176"/>
      <c r="HQ2" s="176"/>
      <c r="HR2" s="176"/>
      <c r="HS2" s="176"/>
      <c r="HT2" s="176"/>
      <c r="HU2" s="176"/>
      <c r="HV2" s="176"/>
      <c r="HW2" s="176"/>
      <c r="HX2" s="176"/>
      <c r="HY2" s="176"/>
      <c r="HZ2" s="176"/>
      <c r="IA2" s="176"/>
      <c r="IB2" s="176"/>
      <c r="IC2" s="176"/>
      <c r="ID2" s="176"/>
      <c r="IE2" s="176"/>
      <c r="IF2" s="176"/>
      <c r="IG2" s="176"/>
      <c r="IH2" s="176"/>
      <c r="II2" s="176"/>
      <c r="IJ2" s="176"/>
      <c r="IK2" s="176"/>
      <c r="IL2" s="176"/>
      <c r="IM2" s="176"/>
      <c r="IN2" s="176"/>
      <c r="IO2" s="176"/>
      <c r="IP2" s="176"/>
      <c r="IQ2" s="176"/>
      <c r="IR2" s="176"/>
      <c r="IS2" s="176"/>
      <c r="IT2" s="176"/>
      <c r="IU2" s="176"/>
      <c r="IV2" s="176"/>
      <c r="IW2" s="176"/>
      <c r="IX2" s="176"/>
      <c r="IY2" s="176"/>
      <c r="IZ2" s="176"/>
      <c r="JA2" s="176"/>
      <c r="JB2" s="176"/>
      <c r="JC2" s="176"/>
      <c r="JD2" s="176"/>
      <c r="JE2" s="176"/>
      <c r="JF2" s="176"/>
      <c r="JG2" s="176"/>
      <c r="JH2" s="176"/>
      <c r="JI2" s="176"/>
      <c r="JJ2" s="176"/>
      <c r="JK2" s="176"/>
      <c r="JL2" s="176"/>
      <c r="JM2" s="177"/>
      <c r="JN2" s="175" t="s">
        <v>134</v>
      </c>
      <c r="JO2" s="176"/>
      <c r="JP2" s="176"/>
      <c r="JQ2" s="176"/>
      <c r="JR2" s="176"/>
      <c r="JS2" s="176"/>
      <c r="JT2" s="176"/>
      <c r="JU2" s="176"/>
      <c r="JV2" s="176"/>
      <c r="JW2" s="176"/>
      <c r="JX2" s="176"/>
      <c r="JY2" s="176"/>
      <c r="JZ2" s="176"/>
      <c r="KA2" s="176"/>
      <c r="KB2" s="176"/>
      <c r="KC2" s="176"/>
      <c r="KD2" s="176"/>
      <c r="KE2" s="176"/>
      <c r="KF2" s="176"/>
      <c r="KG2" s="176"/>
      <c r="KH2" s="176"/>
      <c r="KI2" s="176"/>
      <c r="KJ2" s="176"/>
      <c r="KK2" s="176"/>
      <c r="KL2" s="176"/>
      <c r="KM2" s="176"/>
      <c r="KN2" s="176"/>
      <c r="KO2" s="176"/>
      <c r="KP2" s="176"/>
      <c r="KQ2" s="176"/>
      <c r="KR2" s="176"/>
      <c r="KS2" s="176"/>
      <c r="KT2" s="176"/>
      <c r="KU2" s="176"/>
      <c r="KV2" s="176"/>
      <c r="KW2" s="176"/>
      <c r="KX2" s="176"/>
      <c r="KY2" s="176"/>
      <c r="KZ2" s="176"/>
      <c r="LA2" s="176"/>
      <c r="LB2" s="176"/>
      <c r="LC2" s="176"/>
      <c r="LD2" s="176"/>
      <c r="LE2" s="176"/>
      <c r="LF2" s="176"/>
      <c r="LG2" s="176"/>
      <c r="LH2" s="176"/>
      <c r="LI2" s="176"/>
      <c r="LJ2" s="176"/>
      <c r="LK2" s="176"/>
      <c r="LL2" s="176"/>
      <c r="LM2" s="176"/>
      <c r="LN2" s="176"/>
      <c r="LO2" s="176"/>
      <c r="LP2" s="176"/>
      <c r="LQ2" s="176"/>
      <c r="LR2" s="176"/>
      <c r="LS2" s="176"/>
      <c r="LT2" s="176"/>
      <c r="LU2" s="176"/>
      <c r="LV2" s="176"/>
      <c r="LW2" s="176"/>
      <c r="LX2" s="176"/>
      <c r="LY2" s="176"/>
      <c r="LZ2" s="176"/>
      <c r="MA2" s="176"/>
      <c r="MB2" s="176"/>
      <c r="MC2" s="176"/>
      <c r="MD2" s="176"/>
      <c r="ME2" s="176"/>
      <c r="MF2" s="176"/>
      <c r="MG2" s="176"/>
      <c r="MH2" s="176"/>
      <c r="MI2" s="176"/>
      <c r="MJ2" s="176"/>
      <c r="MK2" s="176"/>
      <c r="ML2" s="176"/>
      <c r="MM2" s="176"/>
      <c r="MN2" s="176"/>
      <c r="MO2" s="176"/>
      <c r="MP2" s="176"/>
      <c r="MQ2" s="176"/>
      <c r="MR2" s="176"/>
      <c r="MS2" s="176"/>
      <c r="MT2" s="176"/>
      <c r="MU2" s="176"/>
      <c r="MV2" s="176"/>
      <c r="MW2" s="176"/>
      <c r="MX2" s="176"/>
      <c r="MY2" s="177"/>
      <c r="MZ2" s="175" t="s">
        <v>135</v>
      </c>
      <c r="NA2" s="176"/>
      <c r="NB2" s="176"/>
      <c r="NC2" s="176"/>
      <c r="ND2" s="176"/>
      <c r="NE2" s="176"/>
      <c r="NF2" s="176"/>
      <c r="NG2" s="176"/>
      <c r="NH2" s="176"/>
      <c r="NI2" s="176"/>
      <c r="NJ2" s="176"/>
      <c r="NK2" s="176"/>
      <c r="NL2" s="176"/>
      <c r="NM2" s="176"/>
      <c r="NN2" s="176"/>
      <c r="NO2" s="176"/>
      <c r="NP2" s="176"/>
      <c r="NQ2" s="176"/>
      <c r="NR2" s="176"/>
      <c r="NS2" s="176"/>
      <c r="NT2" s="176"/>
      <c r="NU2" s="176"/>
      <c r="NV2" s="176"/>
      <c r="NW2" s="176"/>
      <c r="NX2" s="176"/>
      <c r="NY2" s="176"/>
      <c r="NZ2" s="176"/>
      <c r="OA2" s="176"/>
      <c r="OB2" s="176"/>
      <c r="OC2" s="176"/>
      <c r="OD2" s="176"/>
      <c r="OE2" s="176"/>
      <c r="OF2" s="176"/>
      <c r="OG2" s="176"/>
      <c r="OH2" s="176"/>
      <c r="OI2" s="176"/>
      <c r="OJ2" s="176"/>
      <c r="OK2" s="176"/>
      <c r="OL2" s="176"/>
      <c r="OM2" s="176"/>
      <c r="ON2" s="176"/>
      <c r="OO2" s="176"/>
      <c r="OP2" s="176"/>
      <c r="OQ2" s="176"/>
      <c r="OR2" s="176"/>
      <c r="OS2" s="176"/>
      <c r="OT2" s="176"/>
      <c r="OU2" s="176"/>
      <c r="OV2" s="176"/>
      <c r="OW2" s="176"/>
      <c r="OX2" s="176"/>
      <c r="OY2" s="176"/>
      <c r="OZ2" s="176"/>
      <c r="PA2" s="176"/>
      <c r="PB2" s="176"/>
      <c r="PC2" s="176"/>
      <c r="PD2" s="176"/>
      <c r="PE2" s="176"/>
      <c r="PF2" s="176"/>
      <c r="PG2" s="176"/>
      <c r="PH2" s="176"/>
      <c r="PI2" s="176"/>
      <c r="PJ2" s="176"/>
      <c r="PK2" s="176"/>
      <c r="PL2" s="176"/>
      <c r="PM2" s="176"/>
      <c r="PN2" s="176"/>
      <c r="PO2" s="176"/>
      <c r="PP2" s="176"/>
      <c r="PQ2" s="176"/>
      <c r="PR2" s="176"/>
      <c r="PS2" s="176"/>
      <c r="PT2" s="176"/>
      <c r="PU2" s="176"/>
      <c r="PV2" s="176"/>
      <c r="PW2" s="176"/>
      <c r="PX2" s="176"/>
      <c r="PY2" s="176"/>
      <c r="PZ2" s="176"/>
      <c r="QA2" s="176"/>
      <c r="QB2" s="176"/>
      <c r="QC2" s="176"/>
      <c r="QD2" s="176"/>
      <c r="QE2" s="176"/>
      <c r="QF2" s="176"/>
      <c r="QG2" s="176"/>
      <c r="QH2" s="176"/>
      <c r="QI2" s="176"/>
      <c r="QJ2" s="176"/>
      <c r="QK2" s="177"/>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15</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45"/>
      <c r="GA4" s="148"/>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47"/>
      <c r="KP4" s="145"/>
      <c r="KQ4" s="146"/>
      <c r="KR4" s="147"/>
      <c r="KS4" s="145"/>
      <c r="KT4" s="146"/>
      <c r="KU4" s="147"/>
      <c r="KV4" s="145"/>
      <c r="KW4" s="146"/>
      <c r="KX4" s="147"/>
      <c r="KY4" s="145"/>
      <c r="KZ4" s="146"/>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4"/>
      <c r="C6" s="150">
        <v>9</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47"/>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47"/>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47"/>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47"/>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47"/>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44"/>
      <c r="JO6" s="145"/>
      <c r="JP6" s="146"/>
      <c r="JQ6" s="147"/>
      <c r="JR6" s="145"/>
      <c r="JS6" s="146"/>
      <c r="JT6" s="147"/>
      <c r="JU6" s="145"/>
      <c r="JV6" s="146"/>
      <c r="JW6" s="147"/>
      <c r="JX6" s="145"/>
      <c r="JY6" s="146"/>
      <c r="JZ6" s="147"/>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3"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4"/>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3"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4"/>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3"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4"/>
      <c r="C12" s="150">
        <v>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45"/>
      <c r="EE12" s="146"/>
      <c r="EF12" s="147"/>
      <c r="EG12" s="145"/>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47"/>
      <c r="FW12" s="145"/>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45"/>
      <c r="HQ12" s="146"/>
      <c r="HR12" s="147"/>
      <c r="HS12" s="145"/>
      <c r="HT12" s="146"/>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45"/>
      <c r="JG12" s="146"/>
      <c r="JH12" s="147"/>
      <c r="JI12" s="145"/>
      <c r="JJ12" s="146"/>
      <c r="JK12" s="147"/>
      <c r="JL12" s="145"/>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45"/>
      <c r="KN12" s="146"/>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3"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4"/>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3"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4"/>
      <c r="C16" s="150">
        <v>19</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47"/>
      <c r="EM16" s="145"/>
      <c r="EN16" s="146"/>
      <c r="EO16" s="147"/>
      <c r="EP16" s="145"/>
      <c r="EQ16" s="146"/>
      <c r="ER16" s="147"/>
      <c r="ES16" s="145"/>
      <c r="ET16" s="146"/>
      <c r="EU16" s="147"/>
      <c r="EV16" s="145"/>
      <c r="EW16" s="146"/>
      <c r="EX16" s="147"/>
      <c r="EY16" s="145"/>
      <c r="EZ16" s="146"/>
      <c r="FA16" s="147"/>
      <c r="FB16" s="145"/>
      <c r="FC16" s="146"/>
      <c r="FD16" s="147"/>
      <c r="FE16" s="145"/>
      <c r="FF16" s="146"/>
      <c r="FG16" s="147"/>
      <c r="FH16" s="145"/>
      <c r="FI16" s="146"/>
      <c r="FJ16" s="147"/>
      <c r="FK16" s="145"/>
      <c r="FL16" s="146"/>
      <c r="FM16" s="147"/>
      <c r="FN16" s="145"/>
      <c r="FO16" s="146"/>
      <c r="FP16" s="147"/>
      <c r="FQ16" s="145"/>
      <c r="FR16" s="146"/>
      <c r="FS16" s="147"/>
      <c r="FT16" s="145"/>
      <c r="FU16" s="146"/>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45"/>
      <c r="GV16" s="146"/>
      <c r="GW16" s="147"/>
      <c r="GX16" s="145"/>
      <c r="GY16" s="146"/>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3"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4"/>
      <c r="C18" s="150">
        <v>8</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47"/>
      <c r="GR18" s="145"/>
      <c r="GS18" s="146"/>
      <c r="GT18" s="147"/>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47"/>
      <c r="HV18" s="145"/>
      <c r="HW18" s="146"/>
      <c r="HX18" s="147"/>
      <c r="HY18" s="145"/>
      <c r="HZ18" s="146"/>
      <c r="IA18" s="147"/>
      <c r="IB18" s="145"/>
      <c r="IC18" s="146"/>
      <c r="ID18" s="147"/>
      <c r="IE18" s="145"/>
      <c r="IF18" s="146"/>
      <c r="IG18" s="147"/>
      <c r="IH18" s="145"/>
      <c r="II18" s="146"/>
      <c r="IJ18" s="147"/>
      <c r="IK18" s="145"/>
      <c r="IL18" s="146"/>
      <c r="IM18" s="147"/>
      <c r="IN18" s="145"/>
      <c r="IO18" s="146"/>
      <c r="IP18" s="147"/>
      <c r="IQ18" s="145"/>
      <c r="IR18" s="146"/>
      <c r="IS18" s="147"/>
      <c r="IT18" s="145"/>
      <c r="IU18" s="146"/>
      <c r="IV18" s="147"/>
      <c r="IW18" s="145"/>
      <c r="IX18" s="146"/>
      <c r="IY18" s="147"/>
      <c r="IZ18" s="145"/>
      <c r="JA18" s="146"/>
      <c r="JB18" s="147"/>
      <c r="JC18" s="145"/>
      <c r="JD18" s="146"/>
      <c r="JE18" s="147"/>
      <c r="JF18" s="145"/>
      <c r="JG18" s="146"/>
      <c r="JH18" s="147"/>
      <c r="JI18" s="145"/>
      <c r="JJ18" s="146"/>
      <c r="JK18" s="147"/>
      <c r="JL18" s="145"/>
      <c r="JM18" s="148"/>
      <c r="JN18" s="144"/>
      <c r="JO18" s="145"/>
      <c r="JP18" s="146"/>
      <c r="JQ18" s="147"/>
      <c r="JR18" s="145"/>
      <c r="JS18" s="146"/>
      <c r="JT18" s="147"/>
      <c r="JU18" s="145"/>
      <c r="JV18" s="146"/>
      <c r="JW18" s="147"/>
      <c r="JX18" s="145"/>
      <c r="JY18" s="146"/>
      <c r="JZ18" s="147"/>
      <c r="KA18" s="145"/>
      <c r="KB18" s="146"/>
      <c r="KC18" s="147"/>
      <c r="KD18" s="145"/>
      <c r="KE18" s="146"/>
      <c r="KF18" s="147"/>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3"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4"/>
      <c r="C20" s="150">
        <v>5</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45"/>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48"/>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3"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4"/>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3"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4"/>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3"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4"/>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66"/>
      <c r="ED26" s="164"/>
      <c r="EE26" s="165"/>
      <c r="EF26" s="166"/>
      <c r="EG26" s="164"/>
      <c r="EH26" s="165"/>
      <c r="EI26" s="166"/>
      <c r="EJ26" s="164"/>
      <c r="EK26" s="165"/>
      <c r="EL26" s="166"/>
      <c r="EM26" s="164"/>
      <c r="EN26" s="165"/>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44"/>
      <c r="GC26" s="145"/>
      <c r="GD26" s="146"/>
      <c r="GE26" s="147"/>
      <c r="GF26" s="145"/>
      <c r="GG26" s="146"/>
      <c r="GH26" s="147"/>
      <c r="GI26" s="145"/>
      <c r="GJ26" s="146"/>
      <c r="GK26" s="147"/>
      <c r="GL26" s="145"/>
      <c r="GM26" s="146"/>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3"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4"/>
      <c r="C28" s="150">
        <v>0</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47"/>
      <c r="HA28" s="145"/>
      <c r="HB28" s="146"/>
      <c r="HC28" s="147"/>
      <c r="HD28" s="145"/>
      <c r="HE28" s="146"/>
      <c r="HF28" s="147"/>
      <c r="HG28" s="145"/>
      <c r="HH28" s="146"/>
      <c r="HI28" s="147"/>
      <c r="HJ28" s="145"/>
      <c r="HK28" s="146"/>
      <c r="HL28" s="147"/>
      <c r="HM28" s="145"/>
      <c r="HN28" s="146"/>
      <c r="HO28" s="147"/>
      <c r="HP28" s="145"/>
      <c r="HQ28" s="146"/>
      <c r="HR28" s="147"/>
      <c r="HS28" s="145"/>
      <c r="HT28" s="146"/>
      <c r="HU28" s="147"/>
      <c r="HV28" s="145"/>
      <c r="HW28" s="146"/>
      <c r="HX28" s="147"/>
      <c r="HY28" s="145"/>
      <c r="HZ28" s="146"/>
      <c r="IA28" s="147"/>
      <c r="IB28" s="145"/>
      <c r="IC28" s="146"/>
      <c r="ID28" s="147"/>
      <c r="IE28" s="145"/>
      <c r="IF28" s="146"/>
      <c r="IG28" s="147"/>
      <c r="IH28" s="145"/>
      <c r="II28" s="146"/>
      <c r="IJ28" s="147"/>
      <c r="IK28" s="145"/>
      <c r="IL28" s="146"/>
      <c r="IM28" s="147"/>
      <c r="IN28" s="145"/>
      <c r="IO28" s="146"/>
      <c r="IP28" s="147"/>
      <c r="IQ28" s="145"/>
      <c r="IR28" s="146"/>
      <c r="IS28" s="147"/>
      <c r="IT28" s="145"/>
      <c r="IU28" s="146"/>
      <c r="IV28" s="147"/>
      <c r="IW28" s="145"/>
      <c r="IX28" s="146"/>
      <c r="IY28" s="147"/>
      <c r="IZ28" s="145"/>
      <c r="JA28" s="146"/>
      <c r="JB28" s="147"/>
      <c r="JC28" s="145"/>
      <c r="JD28" s="146"/>
      <c r="JE28" s="147"/>
      <c r="JF28" s="145"/>
      <c r="JG28" s="146"/>
      <c r="JH28" s="147"/>
      <c r="JI28" s="145"/>
      <c r="JJ28" s="146"/>
      <c r="JK28" s="147"/>
      <c r="JL28" s="145"/>
      <c r="JM28" s="148"/>
      <c r="JN28" s="144"/>
      <c r="JO28" s="145"/>
      <c r="JP28" s="146"/>
      <c r="JQ28" s="147"/>
      <c r="JR28" s="145"/>
      <c r="JS28" s="146"/>
      <c r="JT28" s="147"/>
      <c r="JU28" s="145"/>
      <c r="JV28" s="146"/>
      <c r="JW28" s="147"/>
      <c r="JX28" s="145"/>
      <c r="JY28" s="146"/>
      <c r="JZ28" s="147"/>
      <c r="KA28" s="145"/>
      <c r="KB28" s="146"/>
      <c r="KC28" s="147"/>
      <c r="KD28" s="145"/>
      <c r="KE28" s="146"/>
      <c r="KF28" s="147"/>
      <c r="KG28" s="145"/>
      <c r="KH28" s="146"/>
      <c r="KI28" s="147"/>
      <c r="KJ28" s="145"/>
      <c r="KK28" s="146"/>
      <c r="KL28" s="147"/>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3"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4"/>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3"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4"/>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3"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4"/>
      <c r="C34" s="150">
        <v>4</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46"/>
      <c r="EI34" s="147"/>
      <c r="EJ34" s="145"/>
      <c r="EK34" s="146"/>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46"/>
      <c r="FY34" s="147"/>
      <c r="FZ34" s="145"/>
      <c r="GA34" s="148"/>
      <c r="GB34" s="144"/>
      <c r="GC34" s="145"/>
      <c r="GD34" s="146"/>
      <c r="GE34" s="147"/>
      <c r="GF34" s="145"/>
      <c r="GG34" s="146"/>
      <c r="GH34" s="147"/>
      <c r="GI34" s="145"/>
      <c r="GJ34" s="146"/>
      <c r="GK34" s="147"/>
      <c r="GL34" s="145"/>
      <c r="GM34" s="146"/>
      <c r="GN34" s="147"/>
      <c r="GO34" s="145"/>
      <c r="GP34" s="146"/>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3"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4"/>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141</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82"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02"/>
  <sheetViews>
    <sheetView tabSelected="1" topLeftCell="A44" zoomScaleNormal="100" workbookViewId="0">
      <selection activeCell="C49" sqref="C49"/>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SUM(B60:B61)</f>
        <v>0</v>
      </c>
      <c r="C59" s="118" t="s">
        <v>36</v>
      </c>
      <c r="D59" s="119"/>
    </row>
    <row r="60" spans="1:9" x14ac:dyDescent="0.25">
      <c r="A60" s="2"/>
      <c r="B60" s="2"/>
      <c r="C60" s="101"/>
      <c r="D60" s="10"/>
    </row>
    <row r="61" spans="1:9" x14ac:dyDescent="0.25">
      <c r="A61" s="51"/>
      <c r="B61" s="51"/>
      <c r="C61" s="52"/>
      <c r="D61" s="52"/>
    </row>
    <row r="62" spans="1:9" ht="14.25" x14ac:dyDescent="0.25">
      <c r="A62" s="116" t="s">
        <v>68</v>
      </c>
      <c r="B62" s="117">
        <f>SUM(B63:B64)</f>
        <v>0</v>
      </c>
      <c r="C62" s="118" t="s">
        <v>37</v>
      </c>
      <c r="D62" s="119"/>
    </row>
    <row r="63" spans="1:9" x14ac:dyDescent="0.25">
      <c r="A63" s="93"/>
      <c r="B63" s="93"/>
      <c r="C63" s="110"/>
      <c r="D63" s="94"/>
    </row>
    <row r="64" spans="1:9" x14ac:dyDescent="0.25">
      <c r="A64" s="99"/>
      <c r="B64" s="99"/>
      <c r="C64" s="100"/>
      <c r="D64" s="100"/>
    </row>
    <row r="65" spans="1:4" ht="14.25" x14ac:dyDescent="0.25">
      <c r="A65" s="116" t="s">
        <v>69</v>
      </c>
      <c r="B65" s="117">
        <f>SUM(B66:B67)</f>
        <v>0</v>
      </c>
      <c r="C65" s="118" t="s">
        <v>36</v>
      </c>
      <c r="D65" s="119"/>
    </row>
    <row r="66" spans="1:4" x14ac:dyDescent="0.25">
      <c r="A66" s="99"/>
      <c r="B66" s="99"/>
      <c r="C66" s="112"/>
      <c r="D66" s="100"/>
    </row>
    <row r="67" spans="1:4" ht="14.25" thickBot="1" x14ac:dyDescent="0.3">
      <c r="A67" s="51"/>
      <c r="B67" s="51"/>
      <c r="C67" s="52"/>
      <c r="D67" s="52"/>
    </row>
    <row r="68" spans="1:4" ht="14.25" thickBot="1" x14ac:dyDescent="0.3">
      <c r="A68" s="48" t="s">
        <v>22</v>
      </c>
      <c r="B68" s="48">
        <f>SUM(B57:B58,B60:B61,B63:B64,B66:B67)</f>
        <v>12</v>
      </c>
      <c r="C68" s="90" t="s">
        <v>38</v>
      </c>
      <c r="D68" s="49"/>
    </row>
    <row r="69" spans="1:4" ht="15" thickBot="1" x14ac:dyDescent="0.35">
      <c r="A69" s="50"/>
      <c r="B69" s="50"/>
      <c r="C69" s="50"/>
      <c r="D69" s="50"/>
    </row>
    <row r="70" spans="1:4" ht="18.75" thickBot="1" x14ac:dyDescent="0.3">
      <c r="A70" s="43" t="s">
        <v>14</v>
      </c>
      <c r="B70" s="44">
        <v>4</v>
      </c>
      <c r="C70" s="45" t="s">
        <v>23</v>
      </c>
      <c r="D70" s="54">
        <f>$D$54+7</f>
        <v>43248</v>
      </c>
    </row>
    <row r="71" spans="1:4" ht="27.75" thickBot="1" x14ac:dyDescent="0.3">
      <c r="A71" s="46" t="s">
        <v>3</v>
      </c>
      <c r="B71" s="47" t="s">
        <v>15</v>
      </c>
      <c r="C71" s="46" t="s">
        <v>7</v>
      </c>
      <c r="D71" s="46" t="s">
        <v>13</v>
      </c>
    </row>
    <row r="72" spans="1:4" ht="14.25" x14ac:dyDescent="0.25">
      <c r="A72" s="121" t="s">
        <v>62</v>
      </c>
      <c r="B72" s="122">
        <f>SUM(B73:B74)</f>
        <v>0</v>
      </c>
      <c r="C72" s="123" t="s">
        <v>35</v>
      </c>
      <c r="D72" s="124"/>
    </row>
    <row r="73" spans="1:4" x14ac:dyDescent="0.25">
      <c r="A73" s="92"/>
      <c r="B73" s="93"/>
      <c r="C73" s="110"/>
      <c r="D73" s="94"/>
    </row>
    <row r="74" spans="1:4" x14ac:dyDescent="0.25">
      <c r="A74" s="95"/>
      <c r="B74" s="51"/>
      <c r="C74" s="52"/>
      <c r="D74" s="52"/>
    </row>
    <row r="75" spans="1:4" ht="14.25" x14ac:dyDescent="0.25">
      <c r="A75" s="120" t="s">
        <v>63</v>
      </c>
      <c r="B75" s="117">
        <f>SUM(B76:B77)</f>
        <v>0</v>
      </c>
      <c r="C75" s="118" t="s">
        <v>36</v>
      </c>
      <c r="D75" s="119"/>
    </row>
    <row r="76" spans="1:4" x14ac:dyDescent="0.25">
      <c r="A76" s="2"/>
      <c r="B76" s="2"/>
      <c r="C76" s="101"/>
      <c r="D76" s="10"/>
    </row>
    <row r="77" spans="1:4" x14ac:dyDescent="0.25">
      <c r="A77" s="51"/>
      <c r="B77" s="51"/>
      <c r="C77" s="52"/>
      <c r="D77" s="52"/>
    </row>
    <row r="78" spans="1:4" ht="14.25" x14ac:dyDescent="0.25">
      <c r="A78" s="116" t="s">
        <v>64</v>
      </c>
      <c r="B78" s="117">
        <f>SUM(B79:B80)</f>
        <v>0</v>
      </c>
      <c r="C78" s="118" t="s">
        <v>37</v>
      </c>
      <c r="D78" s="119"/>
    </row>
    <row r="79" spans="1:4" x14ac:dyDescent="0.25">
      <c r="A79" s="93"/>
      <c r="B79" s="93"/>
      <c r="C79" s="110"/>
      <c r="D79" s="94"/>
    </row>
    <row r="80" spans="1:4" x14ac:dyDescent="0.25">
      <c r="A80" s="99"/>
      <c r="B80" s="99"/>
      <c r="C80" s="100"/>
      <c r="D80" s="100"/>
    </row>
    <row r="81" spans="1:4" ht="14.25" x14ac:dyDescent="0.25">
      <c r="A81" s="116" t="s">
        <v>65</v>
      </c>
      <c r="B81" s="117">
        <f>SUM(B82:B83)</f>
        <v>0</v>
      </c>
      <c r="C81" s="118" t="s">
        <v>36</v>
      </c>
      <c r="D81" s="119"/>
    </row>
    <row r="82" spans="1:4" x14ac:dyDescent="0.25">
      <c r="A82" s="99"/>
      <c r="B82" s="99"/>
      <c r="C82" s="112"/>
      <c r="D82" s="100"/>
    </row>
    <row r="83" spans="1:4" ht="14.25" thickBot="1" x14ac:dyDescent="0.3">
      <c r="A83" s="51"/>
      <c r="B83" s="51"/>
      <c r="C83" s="52"/>
      <c r="D83" s="52"/>
    </row>
    <row r="84" spans="1:4" ht="14.25" thickBot="1" x14ac:dyDescent="0.3">
      <c r="A84" s="48" t="s">
        <v>22</v>
      </c>
      <c r="B84" s="48">
        <f>SUM(B73:B74,B76:B77,B79:B80,B82:B83)</f>
        <v>0</v>
      </c>
      <c r="C84" s="90" t="s">
        <v>38</v>
      </c>
      <c r="D84" s="49"/>
    </row>
    <row r="85" spans="1:4" ht="15" thickBot="1" x14ac:dyDescent="0.35">
      <c r="A85" s="50"/>
      <c r="B85" s="50"/>
      <c r="C85" s="50"/>
      <c r="D85" s="50"/>
    </row>
    <row r="86" spans="1:4" ht="18.75" thickBot="1" x14ac:dyDescent="0.3">
      <c r="A86" s="43" t="s">
        <v>14</v>
      </c>
      <c r="B86" s="44">
        <v>5</v>
      </c>
      <c r="C86" s="45" t="s">
        <v>23</v>
      </c>
      <c r="D86" s="54">
        <f>$D$70+7</f>
        <v>43255</v>
      </c>
    </row>
    <row r="87" spans="1:4" ht="27.75" thickBot="1" x14ac:dyDescent="0.3">
      <c r="A87" s="46" t="s">
        <v>3</v>
      </c>
      <c r="B87" s="47" t="s">
        <v>15</v>
      </c>
      <c r="C87" s="46" t="s">
        <v>7</v>
      </c>
      <c r="D87" s="46" t="s">
        <v>13</v>
      </c>
    </row>
    <row r="88" spans="1:4" ht="14.25" x14ac:dyDescent="0.25">
      <c r="A88" s="121" t="s">
        <v>61</v>
      </c>
      <c r="B88" s="122">
        <f>SUM(B89:B90)</f>
        <v>0</v>
      </c>
      <c r="C88" s="123" t="s">
        <v>35</v>
      </c>
      <c r="D88" s="124"/>
    </row>
    <row r="89" spans="1:4" x14ac:dyDescent="0.25">
      <c r="A89" s="92"/>
      <c r="B89" s="93"/>
      <c r="C89" s="110"/>
      <c r="D89" s="94"/>
    </row>
    <row r="90" spans="1:4" x14ac:dyDescent="0.25">
      <c r="A90" s="92"/>
      <c r="B90" s="93"/>
      <c r="C90" s="110"/>
      <c r="D90" s="110"/>
    </row>
    <row r="91" spans="1:4" ht="14.25" x14ac:dyDescent="0.25">
      <c r="A91" s="120" t="s">
        <v>60</v>
      </c>
      <c r="B91" s="117">
        <f>SUM(B92:B93)</f>
        <v>0</v>
      </c>
      <c r="C91" s="118" t="s">
        <v>36</v>
      </c>
      <c r="D91" s="119"/>
    </row>
    <row r="92" spans="1:4" x14ac:dyDescent="0.25">
      <c r="A92" s="2"/>
      <c r="B92" s="2"/>
      <c r="C92" s="101"/>
      <c r="D92" s="10"/>
    </row>
    <row r="93" spans="1:4" x14ac:dyDescent="0.25">
      <c r="A93" s="51"/>
      <c r="B93" s="51"/>
      <c r="C93" s="52"/>
      <c r="D93" s="52"/>
    </row>
    <row r="94" spans="1:4" ht="14.25" x14ac:dyDescent="0.25">
      <c r="A94" s="116" t="s">
        <v>58</v>
      </c>
      <c r="B94" s="117">
        <f>SUM(B95:B96)</f>
        <v>0</v>
      </c>
      <c r="C94" s="118" t="s">
        <v>37</v>
      </c>
      <c r="D94" s="119"/>
    </row>
    <row r="95" spans="1:4" x14ac:dyDescent="0.25">
      <c r="A95" s="93"/>
      <c r="B95" s="93"/>
      <c r="C95" s="110"/>
      <c r="D95" s="94"/>
    </row>
    <row r="96" spans="1:4" x14ac:dyDescent="0.25">
      <c r="A96" s="99"/>
      <c r="B96" s="99"/>
      <c r="C96" s="100"/>
      <c r="D96" s="100"/>
    </row>
    <row r="97" spans="1:4" ht="14.25" x14ac:dyDescent="0.25">
      <c r="A97" s="116" t="s">
        <v>59</v>
      </c>
      <c r="B97" s="117">
        <f>SUM(B98:B99)</f>
        <v>0</v>
      </c>
      <c r="C97" s="118" t="s">
        <v>36</v>
      </c>
      <c r="D97" s="119"/>
    </row>
    <row r="98" spans="1:4" x14ac:dyDescent="0.25">
      <c r="A98" s="99"/>
      <c r="B98" s="99"/>
      <c r="C98" s="112"/>
      <c r="D98" s="100"/>
    </row>
    <row r="99" spans="1:4" ht="14.25" thickBot="1" x14ac:dyDescent="0.3">
      <c r="A99" s="51"/>
      <c r="B99" s="51"/>
      <c r="C99" s="52"/>
      <c r="D99" s="52"/>
    </row>
    <row r="100" spans="1:4" ht="14.25" thickBot="1" x14ac:dyDescent="0.3">
      <c r="A100" s="48" t="s">
        <v>22</v>
      </c>
      <c r="B100" s="48">
        <f>SUM(B89:B90,B92:B93,B95:B96,B98:B99)</f>
        <v>0</v>
      </c>
      <c r="C100" s="90" t="s">
        <v>38</v>
      </c>
      <c r="D100" s="49"/>
    </row>
    <row r="101" spans="1:4" ht="14.25" x14ac:dyDescent="0.3">
      <c r="A101" s="50"/>
      <c r="B101" s="50"/>
      <c r="C101" s="50"/>
      <c r="D101" s="50"/>
    </row>
    <row r="102" spans="1:4" x14ac:dyDescent="0.25">
      <c r="A102"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67 B72:B83 B88:B99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84 B68 B100">
      <formula1>0</formula1>
      <formula2>NbPerWeek * NbQuartPer</formula2>
    </dataValidation>
    <dataValidation type="list" allowBlank="1" showInputMessage="1" showErrorMessage="1" sqref="A82:A83 A15:A16 A18:A19 A45:A51 A63:A64 A66:A67 A79:A80 A89:A90 A95:A96 A98:A99 A57:A58 A4:A7 A9:A13 A31:A37 A60:A61 A73:A74 A76:A77 A92:A93 A25:A29 A39:A43">
      <formula1>lstTasks</formula1>
    </dataValidation>
  </dataValidations>
  <pageMargins left="0.7" right="0.7" top="0.75" bottom="0.75" header="0.3" footer="0.3"/>
  <pageSetup paperSize="9" scale="61" fitToHeight="0" orientation="landscape"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2018-05-16T14:30:40Z</cp:lastPrinted>
  <dcterms:created xsi:type="dcterms:W3CDTF">1996-10-21T11:03:58Z</dcterms:created>
  <dcterms:modified xsi:type="dcterms:W3CDTF">2018-05-18T14:32:32Z</dcterms:modified>
</cp:coreProperties>
</file>