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PI\Documentation\"/>
    </mc:Choice>
  </mc:AlternateContent>
  <bookViews>
    <workbookView xWindow="0" yWindow="0" windowWidth="25200" windowHeight="11850"/>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87" i="156"/>
  <c r="B84" i="156"/>
  <c r="B81" i="156"/>
  <c r="B78" i="156"/>
  <c r="B75" i="156"/>
  <c r="B71" i="156"/>
  <c r="B68" i="156"/>
  <c r="B65" i="156"/>
  <c r="B62" i="156"/>
  <c r="B59" i="156"/>
  <c r="B55" i="156"/>
  <c r="B52" i="156"/>
  <c r="B49" i="156"/>
  <c r="B46" i="156"/>
  <c r="B43" i="156"/>
  <c r="B39" i="156"/>
  <c r="B36" i="156"/>
  <c r="B33" i="156"/>
  <c r="B30" i="156"/>
  <c r="B24" i="156"/>
  <c r="B17" i="156"/>
  <c r="B3" i="156"/>
  <c r="B19" i="155"/>
  <c r="B15" i="155"/>
  <c r="B8" i="155"/>
  <c r="B3" i="155"/>
  <c r="D1" i="156"/>
  <c r="D22" i="156" s="1"/>
  <c r="D41" i="156" s="1"/>
  <c r="B132" i="155" l="1"/>
  <c r="B108" i="155"/>
  <c r="B79" i="155"/>
  <c r="B51" i="155"/>
  <c r="B23" i="155"/>
  <c r="D57" i="156"/>
  <c r="D73" i="156" s="1"/>
  <c r="B18" i="154"/>
  <c r="B13" i="11" l="1"/>
</calcChain>
</file>

<file path=xl/sharedStrings.xml><?xml version="1.0" encoding="utf-8"?>
<sst xmlns="http://schemas.openxmlformats.org/spreadsheetml/2006/main" count="394" uniqueCount="143">
  <si>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</si>
  <si>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</si>
  <si>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</si>
  <si>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</si>
  <si>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</si>
  <si>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</si>
  <si>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</si>
  <si>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</si>
  <si>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</si>
  <si>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</si>
  <si>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</si>
  <si>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</si>
  <si>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</si>
  <si>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</si>
  <si>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</si>
  <si>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</si>
  <si>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</si>
  <si>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</si>
  <si>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</si>
  <si>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</si>
  <si>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</si>
  <si>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</si>
  <si>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</si>
  <si>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</si>
  <si>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</si>
  <si>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</si>
  <si>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</si>
  <si>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</si>
  <si>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</si>
  <si>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</si>
  <si>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</si>
  <si>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</si>
  <si>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</si>
  <si>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</si>
  <si>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</si>
  <si>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</si>
  <si>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</si>
  <si>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</si>
  <si>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</si>
  <si>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</si>
  <si>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</si>
  <si>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</si>
  <si>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</si>
  <si>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</si>
  <si>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</si>
  <si>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</si>
  <si>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</si>
  <si>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</si>
  <si>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</si>
  <si>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</si>
  <si>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</si>
  <si>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</si>
  <si>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</si>
  <si>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</si>
  <si>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</si>
  <si>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</si>
  <si>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</si>
  <si>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</si>
  <si>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</si>
  <si>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</si>
  <si>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</si>
  <si>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</si>
  <si>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</si>
  <si>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</si>
  <si>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</si>
  <si>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</si>
  <si>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</si>
  <si>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</si>
  <si>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</si>
  <si>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</si>
  <si>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</si>
  <si>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</si>
  <si>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</si>
  <si>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</si>
  <si>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</si>
  <si>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</si>
  <si>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</si>
  <si>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</si>
  <si>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</si>
  <si>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</si>
  <si>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</si>
  <si>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</si>
  <si>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</si>
  <si>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</si>
  <si>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</si>
  <si>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</si>
  <si>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</si>
  <si>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</si>
  <si>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</si>
  <si>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</si>
  <si>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</si>
  <si>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</si>
  <si>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</si>
  <si>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</si>
  <si>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</si>
  <si>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</si>
  <si>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</si>
  <si>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</si>
  <si>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</si>
  <si>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</si>
  <si>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</si>
  <si>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</si>
  <si>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</si>
  <si>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</si>
  <si>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</si>
  <si>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</si>
  <si>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</si>
  <si>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</si>
  <si>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</si>
  <si>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</si>
  <si>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</si>
  <si>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</si>
  <si>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</si>
  <si>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</si>
  <si>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</si>
  <si>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</si>
  <si>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</si>
  <si>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</si>
  <si>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</si>
  <si>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</si>
  <si>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</si>
  <si>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</si>
  <si>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</si>
  <si>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</si>
  <si>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</si>
  <si>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</si>
  <si>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</si>
  <si>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</si>
  <si>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</si>
  <si>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</si>
  <si>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</si>
  <si>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</si>
  <si>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</si>
  <si>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</si>
  <si>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</si>
  <si>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</si>
  <si>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</si>
  <si>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</si>
  <si>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Avancement dans le rapport :
- 1.1 Titre
- 1.2 Description
- 1.3 Matériel et Logiciels à disposition</t>
  </si>
  <si>
    <t>Finalisation de la planification initiale et création du Gantt.
Enregistrement sous format pdf de la planification initale en Gantt.</t>
  </si>
  <si>
    <t>Planification initiale :
TPI/Documentation/T-TPI-carbonarch-JNLTRAV.xlsm
Planification initiale Gant pdf :
TPI/Documentation/T-TPI-carbonarch-Planif_Gantt.pdf</t>
  </si>
  <si>
    <t>Planification :
TPI/Documentation/T-TPI-carbonarch-JNLTRAV.xlsm</t>
  </si>
  <si>
    <t>Entretien avec M. Gruaz concernant le projet :
- Le programme doit être simple à utiliser, il faut se mettre à la place de l'élève
- Possibilité de voir le calcul pour corriger
- Il faut proposer plusieurs solutions ou alternatifs concernant le programme notemmant l'interface
- La planification intiale et rapport par jour OK
- Il faut être plus vendeur lors de la présentation d'une solution ou maquette
- Lors d'une maquette il faut s'assurer qu'elle réponde à tous les points demandés, si non proposé des alternatives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</si>
</sst>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7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tabSelected="1" view="pageBreakPreview" zoomScaleNormal="100" zoomScaleSheetLayoutView="100" workbookViewId="0">
      <selection activeCell="C21" sqref="C21"/>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68" t="s">
        <v>19</v>
      </c>
      <c r="C19" s="169"/>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80</v>
      </c>
      <c r="D35" s="60"/>
      <c r="E35" s="60"/>
      <c r="F35" s="60"/>
      <c r="G35" s="61"/>
      <c r="H35" s="83"/>
      <c r="I35" s="83"/>
      <c r="J35" s="83"/>
      <c r="K35" s="83"/>
      <c r="L35" s="83"/>
      <c r="M35" s="83"/>
    </row>
    <row r="36" spans="1:13" ht="20.25" x14ac:dyDescent="0.25">
      <c r="A36" s="79"/>
      <c r="B36" s="80">
        <v>16</v>
      </c>
      <c r="C36" s="71" t="s">
        <v>110</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topLeftCell="L1" zoomScale="70" zoomScaleNormal="70" workbookViewId="0">
      <selection activeCell="B1" sqref="B1"/>
    </sheetView>
  </sheetViews>
  <sheetFormatPr baseColWidth="10" defaultColWidth="1.5703125" defaultRowHeight="19.5" customHeight="1" x14ac:dyDescent="0.25"/>
  <cols>
    <col min="1" max="1" width="17.85546875" style="136" customWidth="1"/>
    <col min="2" max="2" width="51.28515625" style="136" customWidth="1"/>
    <col min="3" max="3" width="19.42578125" style="136" customWidth="1"/>
    <col min="4" max="16384" width="1.5703125" style="136"/>
  </cols>
  <sheetData>
    <row r="1" spans="1:453" ht="14.25" thickBot="1" x14ac:dyDescent="0.3">
      <c r="B1" s="137"/>
      <c r="C1" s="137"/>
    </row>
    <row r="2" spans="1:453" ht="42.75" customHeight="1" thickBot="1" x14ac:dyDescent="0.3">
      <c r="A2" s="138"/>
      <c r="B2" s="23" t="s">
        <v>5</v>
      </c>
      <c r="C2" s="15" t="s">
        <v>18</v>
      </c>
      <c r="D2" s="170" t="s">
        <v>133</v>
      </c>
      <c r="E2" s="171"/>
      <c r="F2" s="171"/>
      <c r="G2" s="171"/>
      <c r="H2" s="171"/>
      <c r="I2" s="171"/>
      <c r="J2" s="171"/>
      <c r="K2" s="171"/>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71"/>
      <c r="AK2" s="171"/>
      <c r="AL2" s="171"/>
      <c r="AM2" s="171"/>
      <c r="AN2" s="171"/>
      <c r="AO2" s="171"/>
      <c r="AP2" s="171"/>
      <c r="AQ2" s="171"/>
      <c r="AR2" s="171"/>
      <c r="AS2" s="171"/>
      <c r="AT2" s="171"/>
      <c r="AU2" s="171"/>
      <c r="AV2" s="171"/>
      <c r="AW2" s="171"/>
      <c r="AX2" s="171"/>
      <c r="AY2" s="171"/>
      <c r="AZ2" s="171"/>
      <c r="BA2" s="171"/>
      <c r="BB2" s="171"/>
      <c r="BC2" s="171"/>
      <c r="BD2" s="171"/>
      <c r="BE2" s="171"/>
      <c r="BF2" s="171"/>
      <c r="BG2" s="171"/>
      <c r="BH2" s="171"/>
      <c r="BI2" s="171"/>
      <c r="BJ2" s="171"/>
      <c r="BK2" s="171"/>
      <c r="BL2" s="171"/>
      <c r="BM2" s="171"/>
      <c r="BN2" s="171"/>
      <c r="BO2" s="171"/>
      <c r="BP2" s="171"/>
      <c r="BQ2" s="171"/>
      <c r="BR2" s="171"/>
      <c r="BS2" s="171"/>
      <c r="BT2" s="171"/>
      <c r="BU2" s="171"/>
      <c r="BV2" s="171"/>
      <c r="BW2" s="171"/>
      <c r="BX2" s="171"/>
      <c r="BY2" s="171"/>
      <c r="BZ2" s="171"/>
      <c r="CA2" s="171"/>
      <c r="CB2" s="171"/>
      <c r="CC2" s="171"/>
      <c r="CD2" s="171"/>
      <c r="CE2" s="171"/>
      <c r="CF2" s="171"/>
      <c r="CG2" s="171"/>
      <c r="CH2" s="171"/>
      <c r="CI2" s="171"/>
      <c r="CJ2" s="171"/>
      <c r="CK2" s="171"/>
      <c r="CL2" s="171"/>
      <c r="CM2" s="171"/>
      <c r="CN2" s="171"/>
      <c r="CO2" s="172"/>
      <c r="CP2" s="170" t="s">
        <v>134</v>
      </c>
      <c r="CQ2" s="171"/>
      <c r="CR2" s="171"/>
      <c r="CS2" s="171"/>
      <c r="CT2" s="171"/>
      <c r="CU2" s="171"/>
      <c r="CV2" s="171"/>
      <c r="CW2" s="171"/>
      <c r="CX2" s="171"/>
      <c r="CY2" s="171"/>
      <c r="CZ2" s="171"/>
      <c r="DA2" s="171"/>
      <c r="DB2" s="171"/>
      <c r="DC2" s="171"/>
      <c r="DD2" s="171"/>
      <c r="DE2" s="171"/>
      <c r="DF2" s="171"/>
      <c r="DG2" s="171"/>
      <c r="DH2" s="171"/>
      <c r="DI2" s="171"/>
      <c r="DJ2" s="171"/>
      <c r="DK2" s="171"/>
      <c r="DL2" s="171"/>
      <c r="DM2" s="171"/>
      <c r="DN2" s="171"/>
      <c r="DO2" s="171"/>
      <c r="DP2" s="171"/>
      <c r="DQ2" s="171"/>
      <c r="DR2" s="171"/>
      <c r="DS2" s="171"/>
      <c r="DT2" s="171"/>
      <c r="DU2" s="171"/>
      <c r="DV2" s="171"/>
      <c r="DW2" s="171"/>
      <c r="DX2" s="171"/>
      <c r="DY2" s="171"/>
      <c r="DZ2" s="171"/>
      <c r="EA2" s="171"/>
      <c r="EB2" s="171"/>
      <c r="EC2" s="171"/>
      <c r="ED2" s="171"/>
      <c r="EE2" s="171"/>
      <c r="EF2" s="171"/>
      <c r="EG2" s="171"/>
      <c r="EH2" s="171"/>
      <c r="EI2" s="171"/>
      <c r="EJ2" s="171"/>
      <c r="EK2" s="171"/>
      <c r="EL2" s="171"/>
      <c r="EM2" s="171"/>
      <c r="EN2" s="171"/>
      <c r="EO2" s="171"/>
      <c r="EP2" s="171"/>
      <c r="EQ2" s="171"/>
      <c r="ER2" s="171"/>
      <c r="ES2" s="171"/>
      <c r="ET2" s="171"/>
      <c r="EU2" s="171"/>
      <c r="EV2" s="171"/>
      <c r="EW2" s="171"/>
      <c r="EX2" s="171"/>
      <c r="EY2" s="171"/>
      <c r="EZ2" s="171"/>
      <c r="FA2" s="171"/>
      <c r="FB2" s="171"/>
      <c r="FC2" s="171"/>
      <c r="FD2" s="171"/>
      <c r="FE2" s="171"/>
      <c r="FF2" s="171"/>
      <c r="FG2" s="171"/>
      <c r="FH2" s="171"/>
      <c r="FI2" s="171"/>
      <c r="FJ2" s="171"/>
      <c r="FK2" s="171"/>
      <c r="FL2" s="171"/>
      <c r="FM2" s="171"/>
      <c r="FN2" s="171"/>
      <c r="FO2" s="171"/>
      <c r="FP2" s="171"/>
      <c r="FQ2" s="171"/>
      <c r="FR2" s="171"/>
      <c r="FS2" s="171"/>
      <c r="FT2" s="171"/>
      <c r="FU2" s="171"/>
      <c r="FV2" s="171"/>
      <c r="FW2" s="171"/>
      <c r="FX2" s="171"/>
      <c r="FY2" s="171"/>
      <c r="FZ2" s="171"/>
      <c r="GA2" s="172"/>
      <c r="GB2" s="170" t="s">
        <v>135</v>
      </c>
      <c r="GC2" s="171"/>
      <c r="GD2" s="171"/>
      <c r="GE2" s="171"/>
      <c r="GF2" s="171"/>
      <c r="GG2" s="171"/>
      <c r="GH2" s="171"/>
      <c r="GI2" s="171"/>
      <c r="GJ2" s="171"/>
      <c r="GK2" s="171"/>
      <c r="GL2" s="171"/>
      <c r="GM2" s="171"/>
      <c r="GN2" s="171"/>
      <c r="GO2" s="171"/>
      <c r="GP2" s="171"/>
      <c r="GQ2" s="171"/>
      <c r="GR2" s="171"/>
      <c r="GS2" s="171"/>
      <c r="GT2" s="171"/>
      <c r="GU2" s="171"/>
      <c r="GV2" s="171"/>
      <c r="GW2" s="171"/>
      <c r="GX2" s="171"/>
      <c r="GY2" s="171"/>
      <c r="GZ2" s="171"/>
      <c r="HA2" s="171"/>
      <c r="HB2" s="171"/>
      <c r="HC2" s="171"/>
      <c r="HD2" s="171"/>
      <c r="HE2" s="171"/>
      <c r="HF2" s="171"/>
      <c r="HG2" s="171"/>
      <c r="HH2" s="171"/>
      <c r="HI2" s="171"/>
      <c r="HJ2" s="171"/>
      <c r="HK2" s="171"/>
      <c r="HL2" s="171"/>
      <c r="HM2" s="171"/>
      <c r="HN2" s="171"/>
      <c r="HO2" s="171"/>
      <c r="HP2" s="171"/>
      <c r="HQ2" s="171"/>
      <c r="HR2" s="171"/>
      <c r="HS2" s="171"/>
      <c r="HT2" s="171"/>
      <c r="HU2" s="171"/>
      <c r="HV2" s="171"/>
      <c r="HW2" s="171"/>
      <c r="HX2" s="171"/>
      <c r="HY2" s="171"/>
      <c r="HZ2" s="171"/>
      <c r="IA2" s="171"/>
      <c r="IB2" s="171"/>
      <c r="IC2" s="171"/>
      <c r="ID2" s="171"/>
      <c r="IE2" s="171"/>
      <c r="IF2" s="171"/>
      <c r="IG2" s="171"/>
      <c r="IH2" s="171"/>
      <c r="II2" s="171"/>
      <c r="IJ2" s="171"/>
      <c r="IK2" s="171"/>
      <c r="IL2" s="171"/>
      <c r="IM2" s="171"/>
      <c r="IN2" s="171"/>
      <c r="IO2" s="171"/>
      <c r="IP2" s="171"/>
      <c r="IQ2" s="171"/>
      <c r="IR2" s="171"/>
      <c r="IS2" s="171"/>
      <c r="IT2" s="171"/>
      <c r="IU2" s="171"/>
      <c r="IV2" s="171"/>
      <c r="IW2" s="171"/>
      <c r="IX2" s="171"/>
      <c r="IY2" s="171"/>
      <c r="IZ2" s="171"/>
      <c r="JA2" s="171"/>
      <c r="JB2" s="171"/>
      <c r="JC2" s="171"/>
      <c r="JD2" s="171"/>
      <c r="JE2" s="171"/>
      <c r="JF2" s="171"/>
      <c r="JG2" s="171"/>
      <c r="JH2" s="171"/>
      <c r="JI2" s="171"/>
      <c r="JJ2" s="171"/>
      <c r="JK2" s="171"/>
      <c r="JL2" s="171"/>
      <c r="JM2" s="172"/>
      <c r="JN2" s="170" t="s">
        <v>136</v>
      </c>
      <c r="JO2" s="171"/>
      <c r="JP2" s="171"/>
      <c r="JQ2" s="171"/>
      <c r="JR2" s="171"/>
      <c r="JS2" s="171"/>
      <c r="JT2" s="171"/>
      <c r="JU2" s="171"/>
      <c r="JV2" s="171"/>
      <c r="JW2" s="171"/>
      <c r="JX2" s="171"/>
      <c r="JY2" s="171"/>
      <c r="JZ2" s="171"/>
      <c r="KA2" s="171"/>
      <c r="KB2" s="171"/>
      <c r="KC2" s="171"/>
      <c r="KD2" s="171"/>
      <c r="KE2" s="171"/>
      <c r="KF2" s="171"/>
      <c r="KG2" s="171"/>
      <c r="KH2" s="171"/>
      <c r="KI2" s="171"/>
      <c r="KJ2" s="171"/>
      <c r="KK2" s="171"/>
      <c r="KL2" s="171"/>
      <c r="KM2" s="171"/>
      <c r="KN2" s="171"/>
      <c r="KO2" s="171"/>
      <c r="KP2" s="171"/>
      <c r="KQ2" s="171"/>
      <c r="KR2" s="171"/>
      <c r="KS2" s="171"/>
      <c r="KT2" s="171"/>
      <c r="KU2" s="171"/>
      <c r="KV2" s="171"/>
      <c r="KW2" s="171"/>
      <c r="KX2" s="171"/>
      <c r="KY2" s="171"/>
      <c r="KZ2" s="171"/>
      <c r="LA2" s="171"/>
      <c r="LB2" s="171"/>
      <c r="LC2" s="171"/>
      <c r="LD2" s="171"/>
      <c r="LE2" s="171"/>
      <c r="LF2" s="171"/>
      <c r="LG2" s="171"/>
      <c r="LH2" s="171"/>
      <c r="LI2" s="171"/>
      <c r="LJ2" s="171"/>
      <c r="LK2" s="171"/>
      <c r="LL2" s="171"/>
      <c r="LM2" s="171"/>
      <c r="LN2" s="171"/>
      <c r="LO2" s="171"/>
      <c r="LP2" s="171"/>
      <c r="LQ2" s="171"/>
      <c r="LR2" s="171"/>
      <c r="LS2" s="171"/>
      <c r="LT2" s="171"/>
      <c r="LU2" s="171"/>
      <c r="LV2" s="171"/>
      <c r="LW2" s="171"/>
      <c r="LX2" s="171"/>
      <c r="LY2" s="171"/>
      <c r="LZ2" s="171"/>
      <c r="MA2" s="171"/>
      <c r="MB2" s="171"/>
      <c r="MC2" s="171"/>
      <c r="MD2" s="171"/>
      <c r="ME2" s="171"/>
      <c r="MF2" s="171"/>
      <c r="MG2" s="171"/>
      <c r="MH2" s="171"/>
      <c r="MI2" s="171"/>
      <c r="MJ2" s="171"/>
      <c r="MK2" s="171"/>
      <c r="ML2" s="171"/>
      <c r="MM2" s="171"/>
      <c r="MN2" s="171"/>
      <c r="MO2" s="171"/>
      <c r="MP2" s="171"/>
      <c r="MQ2" s="171"/>
      <c r="MR2" s="171"/>
      <c r="MS2" s="171"/>
      <c r="MT2" s="171"/>
      <c r="MU2" s="171"/>
      <c r="MV2" s="171"/>
      <c r="MW2" s="171"/>
      <c r="MX2" s="171"/>
      <c r="MY2" s="172"/>
      <c r="MZ2" s="170" t="s">
        <v>137</v>
      </c>
      <c r="NA2" s="171"/>
      <c r="NB2" s="171"/>
      <c r="NC2" s="171"/>
      <c r="ND2" s="171"/>
      <c r="NE2" s="171"/>
      <c r="NF2" s="171"/>
      <c r="NG2" s="171"/>
      <c r="NH2" s="171"/>
      <c r="NI2" s="171"/>
      <c r="NJ2" s="171"/>
      <c r="NK2" s="171"/>
      <c r="NL2" s="171"/>
      <c r="NM2" s="171"/>
      <c r="NN2" s="171"/>
      <c r="NO2" s="171"/>
      <c r="NP2" s="171"/>
      <c r="NQ2" s="171"/>
      <c r="NR2" s="171"/>
      <c r="NS2" s="171"/>
      <c r="NT2" s="171"/>
      <c r="NU2" s="171"/>
      <c r="NV2" s="171"/>
      <c r="NW2" s="171"/>
      <c r="NX2" s="171"/>
      <c r="NY2" s="171"/>
      <c r="NZ2" s="171"/>
      <c r="OA2" s="171"/>
      <c r="OB2" s="171"/>
      <c r="OC2" s="171"/>
      <c r="OD2" s="171"/>
      <c r="OE2" s="171"/>
      <c r="OF2" s="171"/>
      <c r="OG2" s="171"/>
      <c r="OH2" s="171"/>
      <c r="OI2" s="171"/>
      <c r="OJ2" s="171"/>
      <c r="OK2" s="171"/>
      <c r="OL2" s="171"/>
      <c r="OM2" s="171"/>
      <c r="ON2" s="171"/>
      <c r="OO2" s="171"/>
      <c r="OP2" s="171"/>
      <c r="OQ2" s="171"/>
      <c r="OR2" s="171"/>
      <c r="OS2" s="171"/>
      <c r="OT2" s="171"/>
      <c r="OU2" s="171"/>
      <c r="OV2" s="171"/>
      <c r="OW2" s="171"/>
      <c r="OX2" s="171"/>
      <c r="OY2" s="171"/>
      <c r="OZ2" s="171"/>
      <c r="PA2" s="171"/>
      <c r="PB2" s="171"/>
      <c r="PC2" s="171"/>
      <c r="PD2" s="171"/>
      <c r="PE2" s="171"/>
      <c r="PF2" s="171"/>
      <c r="PG2" s="171"/>
      <c r="PH2" s="171"/>
      <c r="PI2" s="171"/>
      <c r="PJ2" s="171"/>
      <c r="PK2" s="171"/>
      <c r="PL2" s="171"/>
      <c r="PM2" s="171"/>
      <c r="PN2" s="171"/>
      <c r="PO2" s="171"/>
      <c r="PP2" s="171"/>
      <c r="PQ2" s="171"/>
      <c r="PR2" s="171"/>
      <c r="PS2" s="171"/>
      <c r="PT2" s="171"/>
      <c r="PU2" s="171"/>
      <c r="PV2" s="171"/>
      <c r="PW2" s="171"/>
      <c r="PX2" s="171"/>
      <c r="PY2" s="171"/>
      <c r="PZ2" s="171"/>
      <c r="QA2" s="171"/>
      <c r="QB2" s="171"/>
      <c r="QC2" s="171"/>
      <c r="QD2" s="171"/>
      <c r="QE2" s="171"/>
      <c r="QF2" s="171"/>
      <c r="QG2" s="171"/>
      <c r="QH2" s="171"/>
      <c r="QI2" s="171"/>
      <c r="QJ2" s="171"/>
      <c r="QK2" s="172"/>
    </row>
    <row r="3" spans="1:453" ht="19.5" customHeight="1" x14ac:dyDescent="0.25">
      <c r="A3" s="138"/>
      <c r="B3" s="175"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6"/>
      <c r="C4" s="22">
        <v>15</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45"/>
      <c r="GA4" s="148"/>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47"/>
      <c r="KP4" s="145"/>
      <c r="KQ4" s="146"/>
      <c r="KR4" s="147"/>
      <c r="KS4" s="145"/>
      <c r="KT4" s="146"/>
      <c r="KU4" s="147"/>
      <c r="KV4" s="145"/>
      <c r="KW4" s="146"/>
      <c r="KX4" s="147"/>
      <c r="KY4" s="145"/>
      <c r="KZ4" s="146"/>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77"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4"/>
      <c r="C6" s="150">
        <v>6</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47"/>
      <c r="DC6" s="145"/>
      <c r="DD6" s="146"/>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47"/>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47"/>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47"/>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47"/>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47"/>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44"/>
      <c r="JO6" s="145"/>
      <c r="JP6" s="146"/>
      <c r="JQ6" s="147"/>
      <c r="JR6" s="145"/>
      <c r="JS6" s="146"/>
      <c r="JT6" s="147"/>
      <c r="JU6" s="145"/>
      <c r="JV6" s="146"/>
      <c r="JW6" s="147"/>
      <c r="JX6" s="145"/>
      <c r="JY6" s="146"/>
      <c r="JZ6" s="147"/>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3"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4"/>
      <c r="C8" s="150">
        <v>15</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47"/>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3"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4"/>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3"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4"/>
      <c r="C12" s="150">
        <v>0</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45"/>
      <c r="EB12" s="146"/>
      <c r="EC12" s="147"/>
      <c r="ED12" s="145"/>
      <c r="EE12" s="146"/>
      <c r="EF12" s="147"/>
      <c r="EG12" s="145"/>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47"/>
      <c r="FW12" s="145"/>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45"/>
      <c r="HQ12" s="146"/>
      <c r="HR12" s="147"/>
      <c r="HS12" s="145"/>
      <c r="HT12" s="146"/>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45"/>
      <c r="JG12" s="146"/>
      <c r="JH12" s="147"/>
      <c r="JI12" s="145"/>
      <c r="JJ12" s="146"/>
      <c r="JK12" s="147"/>
      <c r="JL12" s="145"/>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45"/>
      <c r="KN12" s="146"/>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3"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4"/>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3"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1"/>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4"/>
      <c r="C16" s="150">
        <v>4</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45"/>
      <c r="DG16" s="146"/>
      <c r="DH16" s="147"/>
      <c r="DI16" s="145"/>
      <c r="DJ16" s="146"/>
      <c r="DK16" s="147"/>
      <c r="DL16" s="145"/>
      <c r="DM16" s="146"/>
      <c r="DN16" s="147"/>
      <c r="DO16" s="145"/>
      <c r="DP16" s="146"/>
      <c r="DQ16" s="147"/>
      <c r="DR16" s="145"/>
      <c r="DS16" s="146"/>
      <c r="DT16" s="147"/>
      <c r="DU16" s="145"/>
      <c r="DV16" s="146"/>
      <c r="DW16" s="147"/>
      <c r="DX16" s="145"/>
      <c r="DY16" s="146"/>
      <c r="DZ16" s="147"/>
      <c r="EA16" s="145"/>
      <c r="EB16" s="146"/>
      <c r="EC16" s="147"/>
      <c r="ED16" s="145"/>
      <c r="EE16" s="146"/>
      <c r="EF16" s="147"/>
      <c r="EG16" s="145"/>
      <c r="EH16" s="146"/>
      <c r="EI16" s="147"/>
      <c r="EJ16" s="145"/>
      <c r="EK16" s="146"/>
      <c r="EL16" s="147"/>
      <c r="EM16" s="145"/>
      <c r="EN16" s="146"/>
      <c r="EO16" s="147"/>
      <c r="EP16" s="145"/>
      <c r="EQ16" s="146"/>
      <c r="ER16" s="147"/>
      <c r="ES16" s="145"/>
      <c r="ET16" s="146"/>
      <c r="EU16" s="147"/>
      <c r="EV16" s="145"/>
      <c r="EW16" s="146"/>
      <c r="EX16" s="147"/>
      <c r="EY16" s="145"/>
      <c r="EZ16" s="146"/>
      <c r="FA16" s="147"/>
      <c r="FB16" s="145"/>
      <c r="FC16" s="146"/>
      <c r="FD16" s="147"/>
      <c r="FE16" s="145"/>
      <c r="FF16" s="146"/>
      <c r="FG16" s="147"/>
      <c r="FH16" s="145"/>
      <c r="FI16" s="146"/>
      <c r="FJ16" s="147"/>
      <c r="FK16" s="145"/>
      <c r="FL16" s="146"/>
      <c r="FM16" s="147"/>
      <c r="FN16" s="145"/>
      <c r="FO16" s="146"/>
      <c r="FP16" s="147"/>
      <c r="FQ16" s="145"/>
      <c r="FR16" s="146"/>
      <c r="FS16" s="147"/>
      <c r="FT16" s="145"/>
      <c r="FU16" s="146"/>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45"/>
      <c r="GV16" s="146"/>
      <c r="GW16" s="147"/>
      <c r="GX16" s="145"/>
      <c r="GY16" s="146"/>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3"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4"/>
      <c r="C18" s="150">
        <v>8</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47"/>
      <c r="GR18" s="145"/>
      <c r="GS18" s="146"/>
      <c r="GT18" s="147"/>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47"/>
      <c r="HV18" s="145"/>
      <c r="HW18" s="146"/>
      <c r="HX18" s="147"/>
      <c r="HY18" s="145"/>
      <c r="HZ18" s="146"/>
      <c r="IA18" s="147"/>
      <c r="IB18" s="145"/>
      <c r="IC18" s="146"/>
      <c r="ID18" s="147"/>
      <c r="IE18" s="145"/>
      <c r="IF18" s="146"/>
      <c r="IG18" s="147"/>
      <c r="IH18" s="145"/>
      <c r="II18" s="146"/>
      <c r="IJ18" s="147"/>
      <c r="IK18" s="145"/>
      <c r="IL18" s="146"/>
      <c r="IM18" s="147"/>
      <c r="IN18" s="145"/>
      <c r="IO18" s="146"/>
      <c r="IP18" s="147"/>
      <c r="IQ18" s="145"/>
      <c r="IR18" s="146"/>
      <c r="IS18" s="147"/>
      <c r="IT18" s="145"/>
      <c r="IU18" s="146"/>
      <c r="IV18" s="147"/>
      <c r="IW18" s="145"/>
      <c r="IX18" s="146"/>
      <c r="IY18" s="147"/>
      <c r="IZ18" s="145"/>
      <c r="JA18" s="146"/>
      <c r="JB18" s="147"/>
      <c r="JC18" s="145"/>
      <c r="JD18" s="146"/>
      <c r="JE18" s="147"/>
      <c r="JF18" s="145"/>
      <c r="JG18" s="146"/>
      <c r="JH18" s="147"/>
      <c r="JI18" s="145"/>
      <c r="JJ18" s="146"/>
      <c r="JK18" s="147"/>
      <c r="JL18" s="145"/>
      <c r="JM18" s="148"/>
      <c r="JN18" s="144"/>
      <c r="JO18" s="145"/>
      <c r="JP18" s="146"/>
      <c r="JQ18" s="147"/>
      <c r="JR18" s="145"/>
      <c r="JS18" s="146"/>
      <c r="JT18" s="147"/>
      <c r="JU18" s="145"/>
      <c r="JV18" s="146"/>
      <c r="JW18" s="147"/>
      <c r="JX18" s="145"/>
      <c r="JY18" s="146"/>
      <c r="JZ18" s="147"/>
      <c r="KA18" s="145"/>
      <c r="KB18" s="146"/>
      <c r="KC18" s="147"/>
      <c r="KD18" s="145"/>
      <c r="KE18" s="146"/>
      <c r="KF18" s="147"/>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3"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4"/>
      <c r="C20" s="150">
        <v>3</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46"/>
      <c r="DZ20" s="147"/>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45"/>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48"/>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3"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4"/>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3"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4"/>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3"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4"/>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66"/>
      <c r="DC26" s="164"/>
      <c r="DD26" s="165"/>
      <c r="DE26" s="166"/>
      <c r="DF26" s="164"/>
      <c r="DG26" s="165"/>
      <c r="DH26" s="166"/>
      <c r="DI26" s="164"/>
      <c r="DJ26" s="165"/>
      <c r="DK26" s="166"/>
      <c r="DL26" s="164"/>
      <c r="DM26" s="165"/>
      <c r="DN26" s="147"/>
      <c r="DO26" s="145"/>
      <c r="DP26" s="146"/>
      <c r="DQ26" s="147"/>
      <c r="DR26" s="145"/>
      <c r="DS26" s="146"/>
      <c r="DT26" s="147"/>
      <c r="DU26" s="145"/>
      <c r="DV26" s="146"/>
      <c r="DW26" s="147"/>
      <c r="DX26" s="145"/>
      <c r="DY26" s="146"/>
      <c r="DZ26" s="147"/>
      <c r="EA26" s="145"/>
      <c r="EB26" s="146"/>
      <c r="EC26" s="147"/>
      <c r="ED26" s="145"/>
      <c r="EE26" s="146"/>
      <c r="EF26" s="147"/>
      <c r="EG26" s="145"/>
      <c r="EH26" s="146"/>
      <c r="EI26" s="147"/>
      <c r="EJ26" s="145"/>
      <c r="EK26" s="146"/>
      <c r="EL26" s="147"/>
      <c r="EM26" s="145"/>
      <c r="EN26" s="146"/>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44"/>
      <c r="GC26" s="145"/>
      <c r="GD26" s="146"/>
      <c r="GE26" s="147"/>
      <c r="GF26" s="145"/>
      <c r="GG26" s="146"/>
      <c r="GH26" s="147"/>
      <c r="GI26" s="145"/>
      <c r="GJ26" s="146"/>
      <c r="GK26" s="147"/>
      <c r="GL26" s="145"/>
      <c r="GM26" s="146"/>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3"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4"/>
      <c r="C28" s="150">
        <v>0</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47"/>
      <c r="HA28" s="145"/>
      <c r="HB28" s="146"/>
      <c r="HC28" s="147"/>
      <c r="HD28" s="145"/>
      <c r="HE28" s="146"/>
      <c r="HF28" s="147"/>
      <c r="HG28" s="145"/>
      <c r="HH28" s="146"/>
      <c r="HI28" s="147"/>
      <c r="HJ28" s="145"/>
      <c r="HK28" s="146"/>
      <c r="HL28" s="147"/>
      <c r="HM28" s="145"/>
      <c r="HN28" s="146"/>
      <c r="HO28" s="147"/>
      <c r="HP28" s="145"/>
      <c r="HQ28" s="146"/>
      <c r="HR28" s="147"/>
      <c r="HS28" s="145"/>
      <c r="HT28" s="146"/>
      <c r="HU28" s="147"/>
      <c r="HV28" s="145"/>
      <c r="HW28" s="146"/>
      <c r="HX28" s="147"/>
      <c r="HY28" s="145"/>
      <c r="HZ28" s="146"/>
      <c r="IA28" s="147"/>
      <c r="IB28" s="145"/>
      <c r="IC28" s="146"/>
      <c r="ID28" s="147"/>
      <c r="IE28" s="145"/>
      <c r="IF28" s="146"/>
      <c r="IG28" s="147"/>
      <c r="IH28" s="145"/>
      <c r="II28" s="146"/>
      <c r="IJ28" s="147"/>
      <c r="IK28" s="145"/>
      <c r="IL28" s="146"/>
      <c r="IM28" s="147"/>
      <c r="IN28" s="145"/>
      <c r="IO28" s="146"/>
      <c r="IP28" s="147"/>
      <c r="IQ28" s="145"/>
      <c r="IR28" s="146"/>
      <c r="IS28" s="147"/>
      <c r="IT28" s="145"/>
      <c r="IU28" s="146"/>
      <c r="IV28" s="147"/>
      <c r="IW28" s="145"/>
      <c r="IX28" s="146"/>
      <c r="IY28" s="147"/>
      <c r="IZ28" s="145"/>
      <c r="JA28" s="146"/>
      <c r="JB28" s="147"/>
      <c r="JC28" s="145"/>
      <c r="JD28" s="146"/>
      <c r="JE28" s="147"/>
      <c r="JF28" s="145"/>
      <c r="JG28" s="146"/>
      <c r="JH28" s="147"/>
      <c r="JI28" s="145"/>
      <c r="JJ28" s="146"/>
      <c r="JK28" s="147"/>
      <c r="JL28" s="145"/>
      <c r="JM28" s="148"/>
      <c r="JN28" s="144"/>
      <c r="JO28" s="145"/>
      <c r="JP28" s="146"/>
      <c r="JQ28" s="147"/>
      <c r="JR28" s="145"/>
      <c r="JS28" s="146"/>
      <c r="JT28" s="147"/>
      <c r="JU28" s="145"/>
      <c r="JV28" s="146"/>
      <c r="JW28" s="147"/>
      <c r="JX28" s="145"/>
      <c r="JY28" s="146"/>
      <c r="JZ28" s="147"/>
      <c r="KA28" s="145"/>
      <c r="KB28" s="146"/>
      <c r="KC28" s="147"/>
      <c r="KD28" s="145"/>
      <c r="KE28" s="146"/>
      <c r="KF28" s="147"/>
      <c r="KG28" s="145"/>
      <c r="KH28" s="146"/>
      <c r="KI28" s="147"/>
      <c r="KJ28" s="145"/>
      <c r="KK28" s="146"/>
      <c r="KL28" s="147"/>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3"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4"/>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3"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4"/>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3"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4"/>
      <c r="C34" s="150">
        <v>0</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45"/>
      <c r="DV34" s="146"/>
      <c r="DW34" s="147"/>
      <c r="DX34" s="145"/>
      <c r="DY34" s="146"/>
      <c r="DZ34" s="147"/>
      <c r="EA34" s="145"/>
      <c r="EB34" s="146"/>
      <c r="EC34" s="147"/>
      <c r="ED34" s="145"/>
      <c r="EE34" s="146"/>
      <c r="EF34" s="147"/>
      <c r="EG34" s="145"/>
      <c r="EH34" s="146"/>
      <c r="EI34" s="147"/>
      <c r="EJ34" s="145"/>
      <c r="EK34" s="146"/>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46"/>
      <c r="FY34" s="147"/>
      <c r="FZ34" s="145"/>
      <c r="GA34" s="148"/>
      <c r="GB34" s="144"/>
      <c r="GC34" s="145"/>
      <c r="GD34" s="146"/>
      <c r="GE34" s="147"/>
      <c r="GF34" s="145"/>
      <c r="GG34" s="146"/>
      <c r="GH34" s="147"/>
      <c r="GI34" s="145"/>
      <c r="GJ34" s="146"/>
      <c r="GK34" s="147"/>
      <c r="GL34" s="145"/>
      <c r="GM34" s="146"/>
      <c r="GN34" s="147"/>
      <c r="GO34" s="145"/>
      <c r="GP34" s="146"/>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3"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4"/>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114</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 ref="CP2:GA2"/>
    <mergeCell ref="GB2:JM2"/>
    <mergeCell ref="JN2:MY2"/>
    <mergeCell ref="MZ2:QK2"/>
    <mergeCell ref="B27:B28"/>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23622047244094491" right="0.23622047244094491" top="0.74803149606299213" bottom="0.74803149606299213" header="0.31496062992125984" footer="0.31496062992125984"/>
  <pageSetup paperSize="9" scale="18"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5" t="s">
        <v>21</v>
      </c>
      <c r="C3" s="16">
        <v>0</v>
      </c>
    </row>
    <row r="4" spans="1:4" ht="19.5" customHeight="1" x14ac:dyDescent="0.25">
      <c r="A4" s="19"/>
      <c r="B4" s="17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I134"/>
  <sheetViews>
    <sheetView topLeftCell="A7" workbookViewId="0"/>
  </sheetViews>
  <sheetFormatPr baseColWidth="10" defaultColWidth="11.42578125" defaultRowHeight="13.5" x14ac:dyDescent="0.25"/>
  <cols>
    <col min="1" max="1" width="22.85546875" style="29" customWidth="1"/>
    <col min="2" max="2" width="8.5703125" style="130"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85</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84</v>
      </c>
      <c r="D12" s="10"/>
    </row>
    <row r="13" spans="1:4" s="53" customFormat="1" ht="27" x14ac:dyDescent="0.25">
      <c r="A13" s="2" t="s">
        <v>80</v>
      </c>
      <c r="B13" s="97">
        <v>2</v>
      </c>
      <c r="C13" s="101" t="s">
        <v>87</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80</v>
      </c>
      <c r="B28" s="115">
        <v>4</v>
      </c>
      <c r="C28" s="110" t="s">
        <v>81</v>
      </c>
      <c r="D28" s="94"/>
    </row>
    <row r="29" spans="1:9" x14ac:dyDescent="0.25">
      <c r="A29" s="1" t="s">
        <v>28</v>
      </c>
      <c r="B29" s="97">
        <v>6</v>
      </c>
      <c r="C29" s="101" t="s">
        <v>86</v>
      </c>
      <c r="D29" s="10"/>
    </row>
    <row r="30" spans="1:9" x14ac:dyDescent="0.25">
      <c r="A30" s="1" t="s">
        <v>31</v>
      </c>
      <c r="B30" s="97">
        <v>2</v>
      </c>
      <c r="C30" s="101" t="s">
        <v>83</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89</v>
      </c>
      <c r="D34" s="94"/>
      <c r="E34" s="20"/>
      <c r="F34" s="35"/>
      <c r="G34" s="31"/>
      <c r="H34" s="31"/>
      <c r="I34" s="20"/>
    </row>
    <row r="35" spans="1:9" ht="67.5" x14ac:dyDescent="0.25">
      <c r="A35" s="1" t="s">
        <v>57</v>
      </c>
      <c r="B35" s="97">
        <v>12</v>
      </c>
      <c r="C35" s="101" t="s">
        <v>88</v>
      </c>
      <c r="D35" s="10"/>
      <c r="E35" s="20"/>
      <c r="F35" s="35"/>
      <c r="G35" s="31"/>
      <c r="H35" s="31"/>
      <c r="I35" s="20"/>
    </row>
    <row r="36" spans="1:9" ht="27" x14ac:dyDescent="0.25">
      <c r="A36" s="1" t="s">
        <v>54</v>
      </c>
      <c r="B36" s="97">
        <v>6</v>
      </c>
      <c r="C36" s="101" t="s">
        <v>90</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95</v>
      </c>
      <c r="D40" s="94"/>
      <c r="E40" s="20"/>
      <c r="F40" s="37"/>
      <c r="G40" s="38"/>
      <c r="H40" s="38"/>
      <c r="I40" s="20"/>
    </row>
    <row r="41" spans="1:9" ht="27" x14ac:dyDescent="0.25">
      <c r="A41" s="2" t="s">
        <v>54</v>
      </c>
      <c r="B41" s="97">
        <v>8</v>
      </c>
      <c r="C41" s="101" t="s">
        <v>91</v>
      </c>
      <c r="D41" s="10"/>
      <c r="E41" s="20"/>
      <c r="F41" s="37"/>
      <c r="G41" s="38"/>
      <c r="H41" s="38"/>
      <c r="I41" s="20"/>
    </row>
    <row r="42" spans="1:9" x14ac:dyDescent="0.25">
      <c r="A42" s="2" t="s">
        <v>57</v>
      </c>
      <c r="B42" s="97">
        <v>7</v>
      </c>
      <c r="C42" s="101" t="s">
        <v>96</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97</v>
      </c>
      <c r="D46" s="10"/>
      <c r="E46" s="20"/>
      <c r="F46" s="37"/>
      <c r="G46" s="38"/>
      <c r="H46" s="38"/>
      <c r="I46" s="20"/>
    </row>
    <row r="47" spans="1:9" ht="27" x14ac:dyDescent="0.25">
      <c r="A47" s="2" t="s">
        <v>57</v>
      </c>
      <c r="B47" s="97">
        <v>8</v>
      </c>
      <c r="C47" s="101" t="s">
        <v>99</v>
      </c>
      <c r="D47" s="10"/>
      <c r="E47" s="20"/>
      <c r="F47" s="37"/>
      <c r="G47" s="38"/>
      <c r="H47" s="38"/>
      <c r="I47" s="20"/>
    </row>
    <row r="48" spans="1:9" x14ac:dyDescent="0.25">
      <c r="A48" s="51" t="s">
        <v>80</v>
      </c>
      <c r="B48" s="98">
        <v>4</v>
      </c>
      <c r="C48" s="131" t="s">
        <v>98</v>
      </c>
      <c r="D48" s="52"/>
      <c r="E48" s="20"/>
      <c r="F48" s="37"/>
      <c r="G48" s="38"/>
      <c r="H48" s="38"/>
      <c r="I48" s="20"/>
    </row>
    <row r="49" spans="1:9" x14ac:dyDescent="0.25">
      <c r="A49" s="51" t="s">
        <v>28</v>
      </c>
      <c r="B49" s="98">
        <v>8</v>
      </c>
      <c r="C49" s="131" t="s">
        <v>100</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82</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83</v>
      </c>
      <c r="D60" s="10"/>
    </row>
    <row r="61" spans="1:9" x14ac:dyDescent="0.25">
      <c r="A61" s="1" t="s">
        <v>30</v>
      </c>
      <c r="B61" s="97">
        <v>12</v>
      </c>
      <c r="C61" s="101" t="s">
        <v>105</v>
      </c>
      <c r="D61" s="10"/>
    </row>
    <row r="62" spans="1:9" x14ac:dyDescent="0.25">
      <c r="A62" s="1" t="s">
        <v>57</v>
      </c>
      <c r="B62" s="97">
        <v>4</v>
      </c>
      <c r="C62" s="101" t="s">
        <v>101</v>
      </c>
      <c r="D62" s="10"/>
    </row>
    <row r="63" spans="1:9" ht="27" x14ac:dyDescent="0.25">
      <c r="A63" s="1" t="s">
        <v>55</v>
      </c>
      <c r="B63" s="97">
        <v>8</v>
      </c>
      <c r="C63" s="101" t="s">
        <v>107</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106</v>
      </c>
      <c r="D67" s="10"/>
    </row>
    <row r="68" spans="1:4" x14ac:dyDescent="0.25">
      <c r="A68" s="2" t="s">
        <v>57</v>
      </c>
      <c r="B68" s="97">
        <v>6</v>
      </c>
      <c r="C68" s="101" t="s">
        <v>113</v>
      </c>
      <c r="D68" s="10"/>
    </row>
    <row r="69" spans="1:4" ht="27" x14ac:dyDescent="0.25">
      <c r="A69" s="2" t="s">
        <v>55</v>
      </c>
      <c r="B69" s="97">
        <v>8</v>
      </c>
      <c r="C69" s="101" t="s">
        <v>131</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80</v>
      </c>
      <c r="B73" s="97">
        <v>4</v>
      </c>
      <c r="C73" s="101" t="s">
        <v>102</v>
      </c>
      <c r="D73" s="10"/>
    </row>
    <row r="74" spans="1:4" x14ac:dyDescent="0.25">
      <c r="A74" s="2" t="s">
        <v>57</v>
      </c>
      <c r="B74" s="97">
        <v>8</v>
      </c>
      <c r="C74" s="101" t="s">
        <v>103</v>
      </c>
      <c r="D74" s="10"/>
    </row>
    <row r="75" spans="1:4" x14ac:dyDescent="0.25">
      <c r="A75" s="51" t="s">
        <v>56</v>
      </c>
      <c r="B75" s="98">
        <v>4</v>
      </c>
      <c r="C75" s="131" t="s">
        <v>108</v>
      </c>
      <c r="D75" s="52"/>
    </row>
    <row r="76" spans="1:4" x14ac:dyDescent="0.25">
      <c r="A76" s="51" t="s">
        <v>29</v>
      </c>
      <c r="B76" s="98">
        <v>3</v>
      </c>
      <c r="C76" s="131" t="s">
        <v>116</v>
      </c>
      <c r="D76" s="52"/>
    </row>
    <row r="77" spans="1:4" x14ac:dyDescent="0.25">
      <c r="A77" s="51" t="s">
        <v>28</v>
      </c>
      <c r="B77" s="98">
        <v>7</v>
      </c>
      <c r="C77" s="131" t="s">
        <v>104</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83</v>
      </c>
      <c r="D85" s="10"/>
    </row>
    <row r="86" spans="1:4" x14ac:dyDescent="0.25">
      <c r="A86" s="1" t="s">
        <v>33</v>
      </c>
      <c r="B86" s="97">
        <v>4</v>
      </c>
      <c r="C86" s="101" t="s">
        <v>109</v>
      </c>
      <c r="D86" s="10"/>
    </row>
    <row r="87" spans="1:4" x14ac:dyDescent="0.25">
      <c r="A87" s="1" t="s">
        <v>30</v>
      </c>
      <c r="B87" s="97">
        <v>5</v>
      </c>
      <c r="C87" s="101" t="s">
        <v>114</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115</v>
      </c>
      <c r="D91" s="10"/>
    </row>
    <row r="92" spans="1:4" x14ac:dyDescent="0.25">
      <c r="A92" s="1" t="s">
        <v>56</v>
      </c>
      <c r="B92" s="97">
        <v>10</v>
      </c>
      <c r="C92" s="101" t="s">
        <v>117</v>
      </c>
      <c r="D92" s="10"/>
    </row>
    <row r="93" spans="1:4" x14ac:dyDescent="0.25">
      <c r="A93" s="1" t="s">
        <v>57</v>
      </c>
      <c r="B93" s="97">
        <v>6</v>
      </c>
      <c r="C93" s="101" t="s">
        <v>112</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118</v>
      </c>
      <c r="D97" s="10"/>
    </row>
    <row r="98" spans="1:4" ht="27" x14ac:dyDescent="0.25">
      <c r="A98" s="2" t="s">
        <v>57</v>
      </c>
      <c r="B98" s="97">
        <v>9</v>
      </c>
      <c r="C98" s="101" t="s">
        <v>132</v>
      </c>
      <c r="D98" s="10"/>
    </row>
    <row r="99" spans="1:4" x14ac:dyDescent="0.25">
      <c r="A99" s="51" t="s">
        <v>29</v>
      </c>
      <c r="B99" s="98">
        <v>4</v>
      </c>
      <c r="C99" s="131" t="s">
        <v>116</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120</v>
      </c>
      <c r="D103" s="10"/>
    </row>
    <row r="104" spans="1:4" x14ac:dyDescent="0.25">
      <c r="A104" s="2" t="s">
        <v>33</v>
      </c>
      <c r="B104" s="97">
        <v>6</v>
      </c>
      <c r="C104" s="101" t="s">
        <v>119</v>
      </c>
      <c r="D104" s="10"/>
    </row>
    <row r="105" spans="1:4" x14ac:dyDescent="0.25">
      <c r="A105" s="51" t="s">
        <v>57</v>
      </c>
      <c r="B105" s="98">
        <v>6</v>
      </c>
      <c r="C105" s="131" t="s">
        <v>122</v>
      </c>
      <c r="D105" s="52"/>
    </row>
    <row r="106" spans="1:4" x14ac:dyDescent="0.25">
      <c r="A106" s="51" t="s">
        <v>29</v>
      </c>
      <c r="B106" s="98">
        <v>2</v>
      </c>
      <c r="C106" s="131" t="s">
        <v>121</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123</v>
      </c>
      <c r="D114" s="10"/>
    </row>
    <row r="115" spans="1:4" x14ac:dyDescent="0.25">
      <c r="A115" s="1" t="s">
        <v>33</v>
      </c>
      <c r="B115" s="97">
        <v>3</v>
      </c>
      <c r="C115" s="101" t="s">
        <v>126</v>
      </c>
      <c r="D115" s="10"/>
    </row>
    <row r="116" spans="1:4" x14ac:dyDescent="0.25">
      <c r="A116" s="95" t="s">
        <v>31</v>
      </c>
      <c r="B116" s="98">
        <v>2</v>
      </c>
      <c r="C116" s="131" t="s">
        <v>83</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111</v>
      </c>
      <c r="D119" s="94"/>
    </row>
    <row r="120" spans="1:4" x14ac:dyDescent="0.25">
      <c r="A120" s="1" t="s">
        <v>28</v>
      </c>
      <c r="B120" s="97">
        <v>18</v>
      </c>
      <c r="C120" s="101" t="s">
        <v>125</v>
      </c>
      <c r="D120" s="10"/>
    </row>
    <row r="121" spans="1:4" x14ac:dyDescent="0.25">
      <c r="A121" s="1" t="s">
        <v>33</v>
      </c>
      <c r="B121" s="97">
        <v>6</v>
      </c>
      <c r="C121" s="101" t="s">
        <v>124</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111</v>
      </c>
      <c r="D124" s="94"/>
    </row>
    <row r="125" spans="1:4" x14ac:dyDescent="0.25">
      <c r="A125" s="2" t="s">
        <v>28</v>
      </c>
      <c r="B125" s="97">
        <v>10</v>
      </c>
      <c r="C125" s="101" t="s">
        <v>127</v>
      </c>
      <c r="D125" s="10"/>
    </row>
    <row r="126" spans="1:4" x14ac:dyDescent="0.25">
      <c r="A126" s="2" t="s">
        <v>33</v>
      </c>
      <c r="B126" s="97">
        <v>6</v>
      </c>
      <c r="C126" s="101" t="s">
        <v>128</v>
      </c>
      <c r="D126" s="10"/>
    </row>
    <row r="127" spans="1:4" x14ac:dyDescent="0.25">
      <c r="A127" s="51" t="s">
        <v>110</v>
      </c>
      <c r="B127" s="98">
        <v>4</v>
      </c>
      <c r="C127" s="131" t="s">
        <v>130</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110</v>
      </c>
      <c r="B130" s="126">
        <v>27</v>
      </c>
      <c r="C130" s="112" t="s">
        <v>129</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89"/>
  <sheetViews>
    <sheetView workbookViewId="0">
      <selection activeCell="B26" sqref="B26"/>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93</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54" x14ac:dyDescent="0.25">
      <c r="A10" s="115" t="s">
        <v>39</v>
      </c>
      <c r="B10" s="93">
        <v>8</v>
      </c>
      <c r="C10" s="110" t="s">
        <v>79</v>
      </c>
      <c r="D10" s="110" t="s">
        <v>141</v>
      </c>
    </row>
    <row r="11" spans="1:4" s="53" customFormat="1" ht="54" x14ac:dyDescent="0.25">
      <c r="A11" s="2" t="s">
        <v>27</v>
      </c>
      <c r="B11" s="2">
        <v>3</v>
      </c>
      <c r="C11" s="101" t="s">
        <v>78</v>
      </c>
      <c r="D11" s="101" t="s">
        <v>93</v>
      </c>
    </row>
    <row r="12" spans="1:4" s="53" customFormat="1" ht="40.5" x14ac:dyDescent="0.25">
      <c r="A12" s="2" t="s">
        <v>28</v>
      </c>
      <c r="B12" s="2">
        <v>1</v>
      </c>
      <c r="C12" s="101" t="s">
        <v>92</v>
      </c>
      <c r="D12" s="101" t="s">
        <v>94</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93</v>
      </c>
    </row>
    <row r="26" spans="1:9" ht="94.5" x14ac:dyDescent="0.25">
      <c r="A26" s="92" t="s">
        <v>39</v>
      </c>
      <c r="B26" s="93">
        <v>7</v>
      </c>
      <c r="C26" s="110" t="s">
        <v>139</v>
      </c>
      <c r="D26" s="110" t="s">
        <v>140</v>
      </c>
    </row>
    <row r="27" spans="1:9" ht="121.5" x14ac:dyDescent="0.25">
      <c r="A27" s="92" t="s">
        <v>31</v>
      </c>
      <c r="B27" s="93">
        <v>1</v>
      </c>
      <c r="C27" s="110" t="s">
        <v>142</v>
      </c>
      <c r="D27" s="110"/>
    </row>
    <row r="28" spans="1:9" ht="54" x14ac:dyDescent="0.25">
      <c r="A28" s="92" t="s">
        <v>28</v>
      </c>
      <c r="B28" s="93">
        <v>3</v>
      </c>
      <c r="C28" s="110" t="s">
        <v>138</v>
      </c>
      <c r="D28" s="110" t="s">
        <v>94</v>
      </c>
    </row>
    <row r="29" spans="1:9" x14ac:dyDescent="0.25">
      <c r="A29" s="92"/>
      <c r="B29" s="93"/>
      <c r="C29" s="110"/>
      <c r="D29" s="110"/>
      <c r="E29" s="20"/>
      <c r="F29" s="20"/>
      <c r="G29" s="20"/>
      <c r="H29" s="20"/>
      <c r="I29" s="20"/>
    </row>
    <row r="30" spans="1:9" ht="15" x14ac:dyDescent="0.25">
      <c r="A30" s="120" t="s">
        <v>71</v>
      </c>
      <c r="B30" s="117">
        <f>SUM(B31:B32)</f>
        <v>0</v>
      </c>
      <c r="C30" s="118" t="s">
        <v>36</v>
      </c>
      <c r="D30" s="119"/>
      <c r="E30" s="20"/>
      <c r="F30" s="35"/>
      <c r="G30" s="31"/>
      <c r="H30" s="31"/>
      <c r="I30" s="20"/>
    </row>
    <row r="31" spans="1:9" x14ac:dyDescent="0.25">
      <c r="A31" s="2"/>
      <c r="B31" s="2"/>
      <c r="C31" s="101"/>
      <c r="D31" s="10"/>
      <c r="E31" s="20"/>
      <c r="F31" s="37"/>
      <c r="G31" s="38"/>
      <c r="H31" s="38"/>
      <c r="I31" s="20"/>
    </row>
    <row r="32" spans="1:9" x14ac:dyDescent="0.25">
      <c r="A32" s="51"/>
      <c r="B32" s="51"/>
      <c r="C32" s="52"/>
      <c r="D32" s="52"/>
      <c r="E32" s="20"/>
      <c r="F32" s="37"/>
      <c r="G32" s="38"/>
      <c r="H32" s="38"/>
      <c r="I32" s="20"/>
    </row>
    <row r="33" spans="1:9" ht="14.25" x14ac:dyDescent="0.25">
      <c r="A33" s="116" t="s">
        <v>72</v>
      </c>
      <c r="B33" s="117">
        <f>SUM(B34:B35)</f>
        <v>0</v>
      </c>
      <c r="C33" s="118" t="s">
        <v>37</v>
      </c>
      <c r="D33" s="119"/>
      <c r="E33" s="20"/>
      <c r="F33" s="37"/>
      <c r="G33" s="38"/>
      <c r="H33" s="38"/>
      <c r="I33" s="20"/>
    </row>
    <row r="34" spans="1:9" x14ac:dyDescent="0.25">
      <c r="A34" s="93"/>
      <c r="B34" s="93"/>
      <c r="C34" s="110"/>
      <c r="D34" s="94"/>
      <c r="E34" s="20"/>
      <c r="F34" s="37"/>
      <c r="G34" s="38"/>
      <c r="H34" s="38"/>
      <c r="I34" s="20"/>
    </row>
    <row r="35" spans="1:9" x14ac:dyDescent="0.25">
      <c r="A35" s="99"/>
      <c r="B35" s="99"/>
      <c r="C35" s="100"/>
      <c r="D35" s="100"/>
      <c r="E35" s="20"/>
      <c r="F35" s="37"/>
      <c r="G35" s="38"/>
      <c r="H35" s="38"/>
      <c r="I35" s="20"/>
    </row>
    <row r="36" spans="1:9" ht="14.25" x14ac:dyDescent="0.25">
      <c r="A36" s="116" t="s">
        <v>73</v>
      </c>
      <c r="B36" s="117">
        <f>SUM(B37:B38)</f>
        <v>0</v>
      </c>
      <c r="C36" s="118" t="s">
        <v>36</v>
      </c>
      <c r="D36" s="119"/>
      <c r="E36" s="20"/>
      <c r="F36" s="37"/>
      <c r="G36" s="38"/>
      <c r="H36" s="38"/>
      <c r="I36" s="20"/>
    </row>
    <row r="37" spans="1:9" x14ac:dyDescent="0.25">
      <c r="A37" s="99"/>
      <c r="B37" s="99"/>
      <c r="C37" s="112"/>
      <c r="D37" s="100"/>
      <c r="E37" s="20"/>
      <c r="F37" s="37"/>
      <c r="G37" s="38"/>
      <c r="H37" s="38"/>
      <c r="I37" s="20"/>
    </row>
    <row r="38" spans="1:9" ht="14.25" thickBot="1" x14ac:dyDescent="0.3">
      <c r="A38" s="51"/>
      <c r="B38" s="51"/>
      <c r="C38" s="52"/>
      <c r="D38" s="52"/>
      <c r="E38" s="20"/>
      <c r="F38" s="39"/>
      <c r="G38" s="40"/>
      <c r="H38" s="40"/>
      <c r="I38" s="20"/>
    </row>
    <row r="39" spans="1:9" ht="15" thickBot="1" x14ac:dyDescent="0.35">
      <c r="A39" s="48" t="s">
        <v>22</v>
      </c>
      <c r="B39" s="48">
        <f>SUM(B25:B29,B31:B32,B34:B35,B37:B38)</f>
        <v>12</v>
      </c>
      <c r="C39" s="90" t="s">
        <v>38</v>
      </c>
      <c r="D39" s="49"/>
      <c r="E39" s="20"/>
      <c r="F39" s="41"/>
      <c r="G39" s="41"/>
      <c r="H39" s="41"/>
      <c r="I39" s="20"/>
    </row>
    <row r="40" spans="1:9" ht="15" thickBot="1" x14ac:dyDescent="0.35">
      <c r="A40" s="50"/>
      <c r="B40" s="50"/>
      <c r="C40" s="50"/>
      <c r="D40" s="50"/>
      <c r="E40" s="20"/>
      <c r="F40" s="20"/>
      <c r="G40" s="20"/>
      <c r="H40" s="20"/>
      <c r="I40" s="20"/>
    </row>
    <row r="41" spans="1:9" ht="18.75" thickBot="1" x14ac:dyDescent="0.3">
      <c r="A41" s="43" t="s">
        <v>14</v>
      </c>
      <c r="B41" s="44">
        <v>3</v>
      </c>
      <c r="C41" s="45" t="s">
        <v>23</v>
      </c>
      <c r="D41" s="54">
        <f>$D$22+7</f>
        <v>43241</v>
      </c>
      <c r="E41" s="20"/>
      <c r="F41" s="20"/>
      <c r="G41" s="20"/>
      <c r="H41" s="20"/>
      <c r="I41" s="20"/>
    </row>
    <row r="42" spans="1:9" ht="27.75" thickBot="1" x14ac:dyDescent="0.3">
      <c r="A42" s="46" t="s">
        <v>3</v>
      </c>
      <c r="B42" s="47" t="s">
        <v>15</v>
      </c>
      <c r="C42" s="46" t="s">
        <v>7</v>
      </c>
      <c r="D42" s="46" t="s">
        <v>13</v>
      </c>
    </row>
    <row r="43" spans="1:9" ht="14.25" x14ac:dyDescent="0.25">
      <c r="A43" s="121" t="s">
        <v>66</v>
      </c>
      <c r="B43" s="122">
        <f>SUM(B44:B45)</f>
        <v>12</v>
      </c>
      <c r="C43" s="123" t="s">
        <v>35</v>
      </c>
      <c r="D43" s="124"/>
    </row>
    <row r="44" spans="1:9" x14ac:dyDescent="0.25">
      <c r="A44" s="92" t="s">
        <v>41</v>
      </c>
      <c r="B44" s="93">
        <v>12</v>
      </c>
      <c r="C44" s="110" t="s">
        <v>82</v>
      </c>
      <c r="D44" s="94"/>
    </row>
    <row r="45" spans="1:9" x14ac:dyDescent="0.25">
      <c r="A45" s="95"/>
      <c r="B45" s="51"/>
      <c r="C45" s="52"/>
      <c r="D45" s="52"/>
    </row>
    <row r="46" spans="1:9" ht="14.25" x14ac:dyDescent="0.25">
      <c r="A46" s="120" t="s">
        <v>67</v>
      </c>
      <c r="B46" s="117">
        <f>SUM(B47:B48)</f>
        <v>0</v>
      </c>
      <c r="C46" s="118" t="s">
        <v>36</v>
      </c>
      <c r="D46" s="119"/>
    </row>
    <row r="47" spans="1:9" x14ac:dyDescent="0.25">
      <c r="A47" s="2"/>
      <c r="B47" s="2"/>
      <c r="C47" s="101"/>
      <c r="D47" s="10"/>
    </row>
    <row r="48" spans="1:9" x14ac:dyDescent="0.25">
      <c r="A48" s="51"/>
      <c r="B48" s="51"/>
      <c r="C48" s="52"/>
      <c r="D48" s="52"/>
    </row>
    <row r="49" spans="1:4" ht="14.25" x14ac:dyDescent="0.25">
      <c r="A49" s="116" t="s">
        <v>68</v>
      </c>
      <c r="B49" s="117">
        <f>SUM(B50:B51)</f>
        <v>0</v>
      </c>
      <c r="C49" s="118" t="s">
        <v>37</v>
      </c>
      <c r="D49" s="119"/>
    </row>
    <row r="50" spans="1:4" x14ac:dyDescent="0.25">
      <c r="A50" s="93"/>
      <c r="B50" s="93"/>
      <c r="C50" s="110"/>
      <c r="D50" s="94"/>
    </row>
    <row r="51" spans="1:4" x14ac:dyDescent="0.25">
      <c r="A51" s="99"/>
      <c r="B51" s="99"/>
      <c r="C51" s="100"/>
      <c r="D51" s="100"/>
    </row>
    <row r="52" spans="1:4" ht="14.25" x14ac:dyDescent="0.25">
      <c r="A52" s="116" t="s">
        <v>69</v>
      </c>
      <c r="B52" s="117">
        <f>SUM(B53:B54)</f>
        <v>0</v>
      </c>
      <c r="C52" s="118" t="s">
        <v>36</v>
      </c>
      <c r="D52" s="119"/>
    </row>
    <row r="53" spans="1:4" x14ac:dyDescent="0.25">
      <c r="A53" s="99"/>
      <c r="B53" s="99"/>
      <c r="C53" s="112"/>
      <c r="D53" s="100"/>
    </row>
    <row r="54" spans="1:4" ht="14.25" thickBot="1" x14ac:dyDescent="0.3">
      <c r="A54" s="51"/>
      <c r="B54" s="51"/>
      <c r="C54" s="52"/>
      <c r="D54" s="52"/>
    </row>
    <row r="55" spans="1:4" ht="14.25" thickBot="1" x14ac:dyDescent="0.3">
      <c r="A55" s="48" t="s">
        <v>22</v>
      </c>
      <c r="B55" s="48">
        <f>SUM(B44:B45,B47:B48,B50:B51,B53:B54)</f>
        <v>12</v>
      </c>
      <c r="C55" s="90" t="s">
        <v>38</v>
      </c>
      <c r="D55" s="49"/>
    </row>
    <row r="56" spans="1:4" ht="15" thickBot="1" x14ac:dyDescent="0.35">
      <c r="A56" s="50"/>
      <c r="B56" s="50"/>
      <c r="C56" s="50"/>
      <c r="D56" s="50"/>
    </row>
    <row r="57" spans="1:4" ht="18.75" thickBot="1" x14ac:dyDescent="0.3">
      <c r="A57" s="43" t="s">
        <v>14</v>
      </c>
      <c r="B57" s="44">
        <v>4</v>
      </c>
      <c r="C57" s="45" t="s">
        <v>23</v>
      </c>
      <c r="D57" s="54">
        <f>$D$41+7</f>
        <v>43248</v>
      </c>
    </row>
    <row r="58" spans="1:4" ht="27.75" thickBot="1" x14ac:dyDescent="0.3">
      <c r="A58" s="46" t="s">
        <v>3</v>
      </c>
      <c r="B58" s="47" t="s">
        <v>15</v>
      </c>
      <c r="C58" s="46" t="s">
        <v>7</v>
      </c>
      <c r="D58" s="46" t="s">
        <v>13</v>
      </c>
    </row>
    <row r="59" spans="1:4" ht="14.25" x14ac:dyDescent="0.25">
      <c r="A59" s="121" t="s">
        <v>62</v>
      </c>
      <c r="B59" s="122">
        <f>SUM(B60:B61)</f>
        <v>0</v>
      </c>
      <c r="C59" s="123" t="s">
        <v>35</v>
      </c>
      <c r="D59" s="124"/>
    </row>
    <row r="60" spans="1:4" x14ac:dyDescent="0.25">
      <c r="A60" s="92"/>
      <c r="B60" s="93"/>
      <c r="C60" s="110"/>
      <c r="D60" s="94"/>
    </row>
    <row r="61" spans="1:4" x14ac:dyDescent="0.25">
      <c r="A61" s="95"/>
      <c r="B61" s="51"/>
      <c r="C61" s="52"/>
      <c r="D61" s="52"/>
    </row>
    <row r="62" spans="1:4" ht="14.25" x14ac:dyDescent="0.25">
      <c r="A62" s="120" t="s">
        <v>63</v>
      </c>
      <c r="B62" s="117">
        <f>SUM(B63:B64)</f>
        <v>0</v>
      </c>
      <c r="C62" s="118" t="s">
        <v>36</v>
      </c>
      <c r="D62" s="119"/>
    </row>
    <row r="63" spans="1:4" x14ac:dyDescent="0.25">
      <c r="A63" s="2"/>
      <c r="B63" s="2"/>
      <c r="C63" s="101"/>
      <c r="D63" s="10"/>
    </row>
    <row r="64" spans="1:4" x14ac:dyDescent="0.25">
      <c r="A64" s="51"/>
      <c r="B64" s="51"/>
      <c r="C64" s="52"/>
      <c r="D64" s="52"/>
    </row>
    <row r="65" spans="1:4" ht="14.25" x14ac:dyDescent="0.25">
      <c r="A65" s="116" t="s">
        <v>64</v>
      </c>
      <c r="B65" s="117">
        <f>SUM(B66:B67)</f>
        <v>0</v>
      </c>
      <c r="C65" s="118" t="s">
        <v>37</v>
      </c>
      <c r="D65" s="119"/>
    </row>
    <row r="66" spans="1:4" x14ac:dyDescent="0.25">
      <c r="A66" s="93"/>
      <c r="B66" s="93"/>
      <c r="C66" s="110"/>
      <c r="D66" s="94"/>
    </row>
    <row r="67" spans="1:4" x14ac:dyDescent="0.25">
      <c r="A67" s="99"/>
      <c r="B67" s="99"/>
      <c r="C67" s="100"/>
      <c r="D67" s="100"/>
    </row>
    <row r="68" spans="1:4" ht="14.25" x14ac:dyDescent="0.25">
      <c r="A68" s="116" t="s">
        <v>65</v>
      </c>
      <c r="B68" s="117">
        <f>SUM(B69:B70)</f>
        <v>0</v>
      </c>
      <c r="C68" s="118" t="s">
        <v>36</v>
      </c>
      <c r="D68" s="119"/>
    </row>
    <row r="69" spans="1:4" x14ac:dyDescent="0.25">
      <c r="A69" s="99"/>
      <c r="B69" s="99"/>
      <c r="C69" s="112"/>
      <c r="D69" s="100"/>
    </row>
    <row r="70" spans="1:4" ht="14.25" thickBot="1" x14ac:dyDescent="0.3">
      <c r="A70" s="51"/>
      <c r="B70" s="51"/>
      <c r="C70" s="52"/>
      <c r="D70" s="52"/>
    </row>
    <row r="71" spans="1:4" ht="14.25" thickBot="1" x14ac:dyDescent="0.3">
      <c r="A71" s="48" t="s">
        <v>22</v>
      </c>
      <c r="B71" s="48">
        <f>SUM(B60:B61,B63:B64,B66:B67,B69:B70)</f>
        <v>0</v>
      </c>
      <c r="C71" s="90" t="s">
        <v>38</v>
      </c>
      <c r="D71" s="49"/>
    </row>
    <row r="72" spans="1:4" ht="15" thickBot="1" x14ac:dyDescent="0.35">
      <c r="A72" s="50"/>
      <c r="B72" s="50"/>
      <c r="C72" s="50"/>
      <c r="D72" s="50"/>
    </row>
    <row r="73" spans="1:4" ht="18.75" thickBot="1" x14ac:dyDescent="0.3">
      <c r="A73" s="43" t="s">
        <v>14</v>
      </c>
      <c r="B73" s="44">
        <v>5</v>
      </c>
      <c r="C73" s="45" t="s">
        <v>23</v>
      </c>
      <c r="D73" s="54">
        <f>$D$57+7</f>
        <v>43255</v>
      </c>
    </row>
    <row r="74" spans="1:4" ht="27.75" thickBot="1" x14ac:dyDescent="0.3">
      <c r="A74" s="46" t="s">
        <v>3</v>
      </c>
      <c r="B74" s="47" t="s">
        <v>15</v>
      </c>
      <c r="C74" s="46" t="s">
        <v>7</v>
      </c>
      <c r="D74" s="46" t="s">
        <v>13</v>
      </c>
    </row>
    <row r="75" spans="1:4" ht="14.25" x14ac:dyDescent="0.25">
      <c r="A75" s="121" t="s">
        <v>61</v>
      </c>
      <c r="B75" s="122">
        <f>SUM(B76:B77)</f>
        <v>0</v>
      </c>
      <c r="C75" s="123" t="s">
        <v>35</v>
      </c>
      <c r="D75" s="124"/>
    </row>
    <row r="76" spans="1:4" x14ac:dyDescent="0.25">
      <c r="A76" s="92"/>
      <c r="B76" s="93"/>
      <c r="C76" s="110"/>
      <c r="D76" s="94"/>
    </row>
    <row r="77" spans="1:4" x14ac:dyDescent="0.25">
      <c r="A77" s="92"/>
      <c r="B77" s="93"/>
      <c r="C77" s="110"/>
      <c r="D77" s="110"/>
    </row>
    <row r="78" spans="1:4" ht="14.25" x14ac:dyDescent="0.25">
      <c r="A78" s="120" t="s">
        <v>60</v>
      </c>
      <c r="B78" s="117">
        <f>SUM(B79:B80)</f>
        <v>0</v>
      </c>
      <c r="C78" s="118" t="s">
        <v>36</v>
      </c>
      <c r="D78" s="119"/>
    </row>
    <row r="79" spans="1:4" x14ac:dyDescent="0.25">
      <c r="A79" s="2"/>
      <c r="B79" s="2"/>
      <c r="C79" s="101"/>
      <c r="D79" s="10"/>
    </row>
    <row r="80" spans="1:4" x14ac:dyDescent="0.25">
      <c r="A80" s="51"/>
      <c r="B80" s="51"/>
      <c r="C80" s="52"/>
      <c r="D80" s="52"/>
    </row>
    <row r="81" spans="1:4" ht="14.25" x14ac:dyDescent="0.25">
      <c r="A81" s="116" t="s">
        <v>58</v>
      </c>
      <c r="B81" s="117">
        <f>SUM(B82:B83)</f>
        <v>0</v>
      </c>
      <c r="C81" s="118" t="s">
        <v>37</v>
      </c>
      <c r="D81" s="119"/>
    </row>
    <row r="82" spans="1:4" x14ac:dyDescent="0.25">
      <c r="A82" s="93"/>
      <c r="B82" s="93"/>
      <c r="C82" s="110"/>
      <c r="D82" s="94"/>
    </row>
    <row r="83" spans="1:4" x14ac:dyDescent="0.25">
      <c r="A83" s="99"/>
      <c r="B83" s="99"/>
      <c r="C83" s="100"/>
      <c r="D83" s="100"/>
    </row>
    <row r="84" spans="1:4" ht="14.25" x14ac:dyDescent="0.25">
      <c r="A84" s="116" t="s">
        <v>59</v>
      </c>
      <c r="B84" s="117">
        <f>SUM(B85:B86)</f>
        <v>0</v>
      </c>
      <c r="C84" s="118" t="s">
        <v>36</v>
      </c>
      <c r="D84" s="119"/>
    </row>
    <row r="85" spans="1:4" x14ac:dyDescent="0.25">
      <c r="A85" s="99"/>
      <c r="B85" s="99"/>
      <c r="C85" s="112"/>
      <c r="D85" s="100"/>
    </row>
    <row r="86" spans="1:4" ht="14.25" thickBot="1" x14ac:dyDescent="0.3">
      <c r="A86" s="51"/>
      <c r="B86" s="51"/>
      <c r="C86" s="52"/>
      <c r="D86" s="52"/>
    </row>
    <row r="87" spans="1:4" ht="14.25" thickBot="1" x14ac:dyDescent="0.3">
      <c r="A87" s="48" t="s">
        <v>22</v>
      </c>
      <c r="B87" s="48">
        <f>SUM(B76:B77,B79:B80,B82:B83,B85:B86)</f>
        <v>0</v>
      </c>
      <c r="C87" s="90" t="s">
        <v>38</v>
      </c>
      <c r="D87" s="49"/>
    </row>
    <row r="88" spans="1:4" ht="14.25" x14ac:dyDescent="0.3">
      <c r="A88" s="50"/>
      <c r="B88" s="50"/>
      <c r="C88" s="50"/>
      <c r="D88" s="50"/>
    </row>
    <row r="89" spans="1:4" x14ac:dyDescent="0.25">
      <c r="A89"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8">
      <formula1>0</formula1>
      <formula2>DureePeriode-1</formula2>
    </dataValidation>
    <dataValidation type="whole" errorStyle="warning" operator="greaterThan" allowBlank="1" showInputMessage="1" showErrorMessage="1" errorTitle="Durée en 1/3 de période" error="Le nombre doit être de type entier" sqref="B3:B19 F31:F37 B43:B54 B59:B70 B75:B86 B24:B3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9 B71 B55 B87">
      <formula1>0</formula1>
      <formula2>NbPerWeek * NbQuartPer</formula2>
    </dataValidation>
    <dataValidation type="list" allowBlank="1" showInputMessage="1" showErrorMessage="1" sqref="A69:A70 A15:A16 A18:A19 A34:A35 A37:A38 A50:A51 A53:A54 A66:A67 A76:A77 A82:A83 A85:A86 A44:A45 A4:A7 A9:A13 A31:A32 A47:A48 A60:A61 A63:A64 A79:A80 A25:A29">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2018-05-14T08:47:50Z</cp:lastPrinted>
  <dcterms:created xsi:type="dcterms:W3CDTF">1996-10-21T11:03:58Z</dcterms:created>
  <dcterms:modified xsi:type="dcterms:W3CDTF">2018-05-14T09:24:52Z</dcterms:modified>
</cp:coreProperties>
</file>