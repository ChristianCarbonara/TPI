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carbonarch\Documents\GitHub\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117" i="156"/>
  <c r="B114" i="156"/>
  <c r="B111" i="156"/>
  <c r="B108" i="156"/>
  <c r="B105" i="156"/>
  <c r="B101" i="156"/>
  <c r="B98" i="156"/>
  <c r="B95" i="156"/>
  <c r="B88" i="156"/>
  <c r="B83" i="156"/>
  <c r="B79" i="156"/>
  <c r="B72" i="156"/>
  <c r="B66" i="156"/>
  <c r="B59" i="156"/>
  <c r="B56" i="156"/>
  <c r="B52" i="156"/>
  <c r="B44" i="156"/>
  <c r="B38" i="156"/>
  <c r="B30" i="156"/>
  <c r="B24" i="156"/>
  <c r="B17" i="156"/>
  <c r="B3" i="156"/>
  <c r="B19" i="155"/>
  <c r="B15" i="155"/>
  <c r="B8" i="155"/>
  <c r="B3" i="155"/>
  <c r="D1" i="156"/>
  <c r="D22" i="156" s="1"/>
  <c r="D54" i="156" s="1"/>
  <c r="B132" i="155" l="1"/>
  <c r="B108" i="155"/>
  <c r="B79" i="155"/>
  <c r="B51" i="155"/>
  <c r="B23" i="155"/>
  <c r="D81" i="156"/>
  <c r="D103" i="156" s="1"/>
  <c r="B18" i="154"/>
  <c r="B13" i="11" l="1"/>
</calcChain>
</file>

<file path=xl/sharedStrings.xml><?xml version="1.0" encoding="utf-8"?>
<sst xmlns="http://schemas.openxmlformats.org/spreadsheetml/2006/main" count="500" uniqueCount="188">
  <si>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</si>
  <si>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</si>
  <si>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</si>
  <si>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</si>
  <si>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</si>
  <si>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</si>
  <si>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</si>
  <si>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</si>
  <si>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</si>
  <si>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</si>
  <si>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</si>
  <si>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</si>
  <si>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</si>
  <si>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</si>
  <si>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</si>
  <si>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</si>
  <si>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</si>
  <si>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</si>
  <si>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</si>
  <si>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</si>
  <si>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</si>
  <si>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</si>
  <si>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</si>
  <si>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</si>
  <si>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</si>
  <si>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</si>
  <si>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</si>
  <si>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</si>
  <si>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</si>
  <si>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</si>
  <si>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</si>
  <si>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</si>
  <si>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</si>
  <si>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</si>
  <si>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</si>
  <si>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</si>
  <si>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</si>
  <si>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</si>
  <si>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</si>
  <si>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</si>
  <si>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</si>
  <si>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</si>
  <si>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</si>
  <si>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</si>
  <si>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</si>
  <si>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</si>
  <si>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</si>
  <si>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</si>
  <si>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</si>
  <si>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</si>
  <si>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</si>
  <si>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</si>
  <si>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</si>
  <si>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</si>
  <si>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</si>
  <si>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</si>
  <si>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</si>
  <si>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</si>
  <si>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</si>
  <si>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</si>
  <si>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</si>
  <si>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</si>
  <si>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</si>
  <si>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</si>
  <si>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</si>
  <si>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</si>
  <si>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</si>
  <si>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</si>
  <si>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</si>
  <si>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</si>
  <si>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</si>
  <si>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</si>
  <si>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</si>
  <si>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</si>
  <si>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</si>
  <si>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</si>
  <si>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</si>
  <si>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</si>
  <si>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</si>
  <si>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</si>
  <si>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</si>
  <si>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</si>
  <si>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</si>
  <si>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</si>
  <si>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</si>
  <si>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</si>
  <si>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</si>
  <si>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</si>
  <si>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</si>
  <si>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</si>
  <si>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</si>
  <si>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</si>
  <si>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</si>
  <si>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</si>
  <si>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</si>
  <si>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</si>
  <si>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</si>
  <si>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</si>
  <si>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</si>
  <si>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</si>
  <si>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</si>
  <si>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</si>
  <si>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</si>
  <si>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</si>
  <si>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</si>
  <si>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</si>
  <si>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</si>
  <si>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</si>
  <si>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</si>
  <si>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</si>
  <si>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</si>
  <si>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</si>
  <si>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</si>
  <si>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</si>
  <si>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</si>
  <si>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</si>
  <si>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</si>
  <si>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</si>
  <si>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</si>
  <si>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</si>
  <si>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</si>
  <si>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</si>
  <si>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</si>
  <si>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</si>
  <si>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</si>
  <si>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</si>
  <si>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</si>
  <si>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</si>
  <si>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</si>
  <si>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</si>
  <si>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</si>
  <si>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</si>
  <si>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</si>
  <si>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</si>
  <si>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</si>
  <si>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</si>
  <si>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</si>
  <si>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</si>
  <si>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</si>
  <si>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</si>
  <si>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</si>
  <si>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</si>
  <si>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</si>
  <si>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</si>
  <si>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</si>
  <si>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</si>
  <si>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</si>
  <si>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t>Rapport de projet : 
TPI/Documentation/R-TPI-carbonarch-Rapport_de_projet.docx
Format PDF : 
TPI/Documentation/Format PDF/R-TPI-carbonarch-Rapport_de_projet.pdf</t>
  </si>
  <si>
    <t>Mise à jour du journal de travail.
Création du fichier PDF du journal de travail.</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</si>
  <si>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</si>
  <si>
    <t>Avancement dans le croquis concernant les détails des calculs :
• La mise en forme
• Comment afficher le calcul à l'élève de manière simple et évidente
• Afficher toutes les informations nécessaire (comme les restes, comment lire les reste, le résultat)</t>
  </si>
  <si>
    <t>Maquette graphique pour les conversions :
TPI/Documentation/MM-TPI-carbonarch-Maquette_Graphique_Conversion.vsdx</t>
  </si>
  <si>
    <t>Rapport de projet : 
TPI/Documentation/R-TPI-carbonarch-Rapport_de_projet.docx
Aide reçu pour certains points du rapport par :
• Diogo Da Silva</t>
  </si>
  <si>
    <t>Emplacement du programme :
TPI/Programme/Convertisseur_de_bases
Norme de codage ETML :
TPI/Documentation/Format PDF/I-ConventionsDeCodageV3.1.1.pdf
Lien pour empêcher un utilisateur  d'écrire dans une ComboBox :
https://www.developpez.net/forums/d533243/dotnet/developpement-windows/windows-forms/interdire-l-ecriture-combobox/</t>
  </si>
  <si>
    <t>Avancement dans le rapport :
• Travail à réaliser par l'apprenti
• Opportunités
• Document d'analyse et conception
• Conception du programme
• Conception des Tests</t>
  </si>
  <si>
    <t>Journal de travail :
TPI/Documentation/T-TPI-carbonarch-JNLTRAV.xlsm
Format PDF : 
TPI/Documentation/Format PDF/T-TPI-carbonarch-JNLTRAV.pdf</t>
  </si>
  <si>
    <r>
      <t>Création du programme pour convertir.
Un problème est survenu lors de l'exécution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refusé."</t>
    </r>
    <r>
      <rPr>
        <sz val="10"/>
        <rFont val="Century Gothic"/>
        <family val="2"/>
        <scheme val="minor"/>
      </rPr>
      <t xml:space="preserve">
• Nécessite de générer la solution et de l'exécuter manuellement
• Possibilité que la raison de cette erreur est dû au fait que le programme se trouve sur le serveur de l'ETML, nécessite d'effectuer un test</t>
    </r>
  </si>
  <si>
    <t>Entretien avec M. Gruaz concernant l'avancement du projet :
• Conseil concernant les détails des calculs afin d'améliorer la lisibilité
• Mettre la planification et le Gantt en annexe pour éviter le "remplissage" de pages du rapport
• Explication de la maquette graphique de conversion, la maquette est approuvé mais besoin de faire attention à la lisibilité
• Si la lisibilité du rapport est douteux pour l'impression ne pas hésiter à effectuer une impression couleur pour tester</t>
  </si>
  <si>
    <t>Avancement dans le rapport :
• Titre
• Description
• Matériel et Logiciels à disposition
• Prérequis</t>
  </si>
  <si>
    <t>Avancement dans le rapport avec les éléments actuels dont :
• Objectifs et portée du projet (objectifs SMART)
• Caractéristiques des utilisateurs et impacts
• Fonctionnalités requises (du point de vue de l'utilisateur)
• Contraintes
• Travail à réaliser par l'apprenti
• Les points suivants seront évalués
• Planification initiale
• Opportunités
• Conception des tests
• Planification détaillé
Modification de la mise en page et du pied-de-page suivent les conseils de l'expert.
Création du fichier PDF du rapport.</t>
  </si>
  <si>
    <t>Avancement dans le rapport :
• Document d'analyse et conception
• Planification initiale
• Maquette graphique de manière générale
• Maquette graphique pour les conversions
• Objectifs et portée du projet (objectifs FFOR)</t>
  </si>
  <si>
    <t>Emplacement du programme :
TPI/Programme/Convertisseur_de_bases</t>
  </si>
  <si>
    <t>Crampes d'estomac.</t>
  </si>
  <si>
    <t>Le programme a été mis sur en local pour vérifier si le problème vient du fait qu'il était sur le serveur de l'ETML :
• Fonctionne correctement en local donc le problème venait bien du fait qu'il était sur le serveur de l'ETML, manque d'accès au programme par sécurité
• Raison : le programme n'a pas les accès nécessaire pour l'effectuer lui-même, cela est très certainement une question de sécurité pour empêcher qu'un logiciel malveillant le fasse
Ajout de :
• Barre des tâches
• Bouton pour convertir
• Zone de texte pour que l'utilisateur entre la valeur à convertir
• Zones où les résultats des conversions s'affichent
Modification du code pour qu'il correspond aux normes ETML.
Vérification des normes ETML.</t>
  </si>
  <si>
    <t>Modification du croquis pour l'adapter avec les nouvelles informations reçu lors de l'entretien avec M. Gruaz.
Ajout de l'interface lorsque l'utilisateur défini de faire un calcul avec virgule.</t>
  </si>
  <si>
    <t>Vérification des normes ETML.
Ajout d'objets dans le programme :
• Bouton à liste déroulante "Mode"
• Bouton à liste déroulante "Options"
• Bouton d'aide
Création d'un lexique (sur papier pour le moment) concernant le nom des objets et de leur type, exemple :
• cob = ComboBox 
• ts = ToolStrip
• tsb = ToolStripButton</t>
  </si>
  <si>
    <t>Création du croquis pour soustraire :
• L'interface pour soustraire
• L'interface du calcul entier</t>
  </si>
  <si>
    <t>Avancement dans le rapport :
• Les conversions minimal/maximal avec 32 bits signés
• Maquette graphique pour les conversions
• Si le temps le permet</t>
  </si>
  <si>
    <t>Recherche concernant le résultat minimum/maximal de conversion entre le décimal, binaire, octal et hexadécimal.
Recherche avec l'aide d'un ancien DemoMot (année 2015) pour la conversion en binaire.</t>
  </si>
  <si>
    <t>Codage pour effectuer la conversion de décimal à binaire  et de décimal à octal de sorte à avoir le "reste" et le nécessaire d'information pour afficher tout le calcul.
La conversion de décimal à binaire et de décimal à octal fonctionne (sans virgule et non signé).
L'hexadécimal sera pour le moment mis de côté pour faire la partie détail du calcul pour la conversion en binaire et octal.
Mise en place de vérification (regex notamment) pour vérifier le nombre entrer par l'utilisateur.
Vérification du bon fonctionnement du programme pour les conversions.
Adaptation de l'interface pour afficher le résultat en entier.
Modification du code affichant le résultat pour espacer le résultat augmentant la lisibilité.</t>
  </si>
  <si>
    <t>Rapport de projet : 
TPI/Documentation/R-TPI-carbonarch-Rapport_de_projet.docx
Format PDF : 
TPI/Documentation/Format PDF/R-TPI-carbonarch-Rapport_de_projet.pdf
Aide reçu pour la compréhension de ce qui est attendu concernant la maquette par :
• Diogo Da Silva</t>
  </si>
  <si>
    <t>Maquette graphique pour les soustractions :
TPI/Documentation/MM-TPI-carbonarch-Maquette_Graphique_Soustraction.vsdx
Format pour les conversions PDF :
TPI/Documentation/Format PDF/MM-TPI-carbonarch-Maquette_Graphique_Conversion.pdf
Format pour les soustractions PDF :
TPI/Documentation/Format PDF/
MM-TPI-carbonarch-Maquette_Graphique_Soustraction.pdf
Inspiration pour l'interface : 
http://www.groupeisf.net/automatismes/Numeration/Numeration_binaire/Ressources/Logique_combinatoire/html/01/28-ess0102006.htm</t>
  </si>
  <si>
    <t xml:space="preserve">Journal de travail :
TPI/Documentation/T-TPI-carbonarch-JNLTRAV.xlsm
</t>
  </si>
  <si>
    <t xml:space="preserve">Modification des vérification pour effectuer la conversion pour pouvoir convertir des nombres négatifs et positifs.
Difficulté pour convertir les nombres négatifs.
Modification du fonctionnement de la conversion pour stocker tous les résultats des opérations dans des tableaux, cela afin de pouvoir les affichés à l'utilisateur.
</t>
  </si>
  <si>
    <t>Recherche concernant la conversion avec des chiffres positifs et négatifs de décimal à binaire.</t>
  </si>
  <si>
    <t>Avancement dans le programme :
• Tentative d'ajout de fonctionnalité comme la possibilité de choisir si le nombre entré est signé ou non
• Adaptation de l'interface
• Création de l'interface pour affiché les calculs dans une autre form
Plusieurs crash de Microsoft Visual Studio sont survenu durant la programmation du code :
• Test fait : redémarrer l'ordinateur, fermer le programme
• Cause : Inconnue pour le moment
• Manipulation qui font crash : utiliser la fonctionnalité de correction (l'ampoule) pour mettre à jour les noms de variables, méthode, etc... dans le code</t>
  </si>
  <si>
    <t>Entretien avec M. Gruaz concernant l'avancement du projet :
• Discussion concernant les multiples façons d'effectuer les conversions en passant par différent format
• Discussion concernant les possibilités d'effectuer une soustraction en binaire</t>
  </si>
  <si>
    <t>Recherche concernant la façon dont il est possible de convertir de binaire à décimal.
Recherche pour convertir avec des nombres négatifs. (échec, mis de côté en attendant de terminer correctement les conversions)</t>
  </si>
  <si>
    <t>Tentative de conversion avec des nombres décimaux négatifs en binaire. (échec)
Avancement dans la conversion pour effectuer une conversion de binaire à décimal.
Avancement dans le programme (besoin d'être finalisé) :
• Permettre l'affichage du calcul de conversion de décimal à binaire avec les restes (réussi)
• Permettre l'affichage du calcul de conversion de décimal à octal avec les restes (réussi)</t>
  </si>
  <si>
    <t>Modification du code pour :
• Empêcher l'utilisateur d'effectuer une conversion sans choisir le format du nombre à convertir
• Adapter les regexs pour les vérifications
• Pouvoir afficher chaque étapes des conversions (décimal à binaire et décimal à octal) avec le reste en l'affichant sur une autre fenêtre, dont celle-ci se créé lorsque l'utilisateur clique sur "Montrer le calcul"
• Modification des boutons, ceux-ci reste verrouillé dans que la personne ne choisi pas un format ou n'écrit pas le nombre à convertir dans le format choisi</t>
  </si>
  <si>
    <t>Recherche d'un moyen pour convertir de binaire en octale.</t>
  </si>
  <si>
    <t>Examen EcG.</t>
  </si>
  <si>
    <t>Recherche concernant :
• L'éco-conception en C#</t>
  </si>
  <si>
    <t>Codage pour convertir de binaire à décimal en faisant en sorte de garder les résultats des calculs pour pouvoir les afficher.
Tentative de conversion de binaire à octal en gardant les résultats des calculs pour pouvoir les afficher.</t>
  </si>
  <si>
    <t xml:space="preserve">Lien Eco-Conception possible : https://mikaelkrief.wordpress.com/2011/10/12/optimisation-memoire-c/
</t>
  </si>
  <si>
    <t>Exemple de la conversion pris de :
https://www.w3resource.com/csharp-exercises/for-loop/csharp-for-loop-exercise-53.php</t>
  </si>
  <si>
    <r>
      <t>Avancement dans la conversion de binaire à octal :
• La conversion fonctionne correctement à présent
• Un problème concernant la valeur max du nombre max en int32 entré en binaire, le maximum est de 1111111 tandis qu'en décimal il est de 2147483647
• La difficulté étant que la conversion de binaire à octal n'est pas la même que de binaire à décimal, une limite de 2</t>
    </r>
    <r>
      <rPr>
        <vertAlign val="superscript"/>
        <sz val="10"/>
        <rFont val="Century Gothic"/>
        <family val="2"/>
        <scheme val="minor"/>
      </rPr>
      <t>3</t>
    </r>
    <r>
      <rPr>
        <sz val="10"/>
        <rFont val="Century Gothic"/>
        <family val="2"/>
        <scheme val="minor"/>
      </rPr>
      <t xml:space="preserve"> a dût être fixé pour la conversion</t>
    </r>
  </si>
  <si>
    <t>Suppression des éléments non utilisé dans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</si>
</sst>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
      <vertAlign val="superscript"/>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style="thin">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82">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8" fillId="0" borderId="56" xfId="0" applyFont="1" applyFill="1" applyBorder="1" applyAlignment="1" applyProtection="1">
      <alignment horizontal="center" vertical="center" wrapText="1"/>
      <protection locked="0"/>
    </xf>
    <xf numFmtId="0" fontId="8" fillId="0" borderId="56" xfId="0" applyFont="1" applyFill="1" applyBorder="1" applyAlignment="1" applyProtection="1">
      <alignment horizontal="left" vertical="top" wrapText="1"/>
      <protection locked="0"/>
    </xf>
    <xf numFmtId="0" fontId="8" fillId="0" borderId="42" xfId="0"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zoomScaleNormal="100" zoomScaleSheetLayoutView="100" workbookViewId="0">
      <selection activeCell="C34" sqref="C34"/>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71" t="s">
        <v>19</v>
      </c>
      <c r="C19" s="17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3" t="s">
        <v>131</v>
      </c>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c r="BJ2" s="174"/>
      <c r="BK2" s="174"/>
      <c r="BL2" s="174"/>
      <c r="BM2" s="174"/>
      <c r="BN2" s="174"/>
      <c r="BO2" s="174"/>
      <c r="BP2" s="174"/>
      <c r="BQ2" s="174"/>
      <c r="BR2" s="174"/>
      <c r="BS2" s="174"/>
      <c r="BT2" s="174"/>
      <c r="BU2" s="174"/>
      <c r="BV2" s="174"/>
      <c r="BW2" s="174"/>
      <c r="BX2" s="174"/>
      <c r="BY2" s="174"/>
      <c r="BZ2" s="174"/>
      <c r="CA2" s="174"/>
      <c r="CB2" s="174"/>
      <c r="CC2" s="174"/>
      <c r="CD2" s="174"/>
      <c r="CE2" s="174"/>
      <c r="CF2" s="174"/>
      <c r="CG2" s="174"/>
      <c r="CH2" s="174"/>
      <c r="CI2" s="174"/>
      <c r="CJ2" s="174"/>
      <c r="CK2" s="174"/>
      <c r="CL2" s="174"/>
      <c r="CM2" s="174"/>
      <c r="CN2" s="174"/>
      <c r="CO2" s="175"/>
      <c r="CP2" s="173" t="s">
        <v>132</v>
      </c>
      <c r="CQ2" s="174"/>
      <c r="CR2" s="174"/>
      <c r="CS2" s="174"/>
      <c r="CT2" s="174"/>
      <c r="CU2" s="174"/>
      <c r="CV2" s="174"/>
      <c r="CW2" s="174"/>
      <c r="CX2" s="174"/>
      <c r="CY2" s="174"/>
      <c r="CZ2" s="174"/>
      <c r="DA2" s="174"/>
      <c r="DB2" s="174"/>
      <c r="DC2" s="174"/>
      <c r="DD2" s="174"/>
      <c r="DE2" s="174"/>
      <c r="DF2" s="174"/>
      <c r="DG2" s="174"/>
      <c r="DH2" s="174"/>
      <c r="DI2" s="174"/>
      <c r="DJ2" s="174"/>
      <c r="DK2" s="174"/>
      <c r="DL2" s="174"/>
      <c r="DM2" s="174"/>
      <c r="DN2" s="174"/>
      <c r="DO2" s="174"/>
      <c r="DP2" s="174"/>
      <c r="DQ2" s="174"/>
      <c r="DR2" s="174"/>
      <c r="DS2" s="174"/>
      <c r="DT2" s="174"/>
      <c r="DU2" s="174"/>
      <c r="DV2" s="174"/>
      <c r="DW2" s="174"/>
      <c r="DX2" s="174"/>
      <c r="DY2" s="174"/>
      <c r="DZ2" s="174"/>
      <c r="EA2" s="174"/>
      <c r="EB2" s="174"/>
      <c r="EC2" s="174"/>
      <c r="ED2" s="174"/>
      <c r="EE2" s="174"/>
      <c r="EF2" s="174"/>
      <c r="EG2" s="174"/>
      <c r="EH2" s="174"/>
      <c r="EI2" s="174"/>
      <c r="EJ2" s="174"/>
      <c r="EK2" s="174"/>
      <c r="EL2" s="174"/>
      <c r="EM2" s="174"/>
      <c r="EN2" s="174"/>
      <c r="EO2" s="174"/>
      <c r="EP2" s="174"/>
      <c r="EQ2" s="174"/>
      <c r="ER2" s="174"/>
      <c r="ES2" s="174"/>
      <c r="ET2" s="174"/>
      <c r="EU2" s="174"/>
      <c r="EV2" s="174"/>
      <c r="EW2" s="174"/>
      <c r="EX2" s="174"/>
      <c r="EY2" s="174"/>
      <c r="EZ2" s="174"/>
      <c r="FA2" s="174"/>
      <c r="FB2" s="174"/>
      <c r="FC2" s="174"/>
      <c r="FD2" s="174"/>
      <c r="FE2" s="174"/>
      <c r="FF2" s="174"/>
      <c r="FG2" s="174"/>
      <c r="FH2" s="174"/>
      <c r="FI2" s="174"/>
      <c r="FJ2" s="174"/>
      <c r="FK2" s="174"/>
      <c r="FL2" s="174"/>
      <c r="FM2" s="174"/>
      <c r="FN2" s="174"/>
      <c r="FO2" s="174"/>
      <c r="FP2" s="174"/>
      <c r="FQ2" s="174"/>
      <c r="FR2" s="174"/>
      <c r="FS2" s="174"/>
      <c r="FT2" s="174"/>
      <c r="FU2" s="174"/>
      <c r="FV2" s="174"/>
      <c r="FW2" s="174"/>
      <c r="FX2" s="174"/>
      <c r="FY2" s="174"/>
      <c r="FZ2" s="174"/>
      <c r="GA2" s="175"/>
      <c r="GB2" s="173" t="s">
        <v>133</v>
      </c>
      <c r="GC2" s="174"/>
      <c r="GD2" s="174"/>
      <c r="GE2" s="174"/>
      <c r="GF2" s="174"/>
      <c r="GG2" s="174"/>
      <c r="GH2" s="174"/>
      <c r="GI2" s="174"/>
      <c r="GJ2" s="174"/>
      <c r="GK2" s="174"/>
      <c r="GL2" s="174"/>
      <c r="GM2" s="174"/>
      <c r="GN2" s="174"/>
      <c r="GO2" s="174"/>
      <c r="GP2" s="174"/>
      <c r="GQ2" s="174"/>
      <c r="GR2" s="174"/>
      <c r="GS2" s="174"/>
      <c r="GT2" s="174"/>
      <c r="GU2" s="174"/>
      <c r="GV2" s="174"/>
      <c r="GW2" s="174"/>
      <c r="GX2" s="174"/>
      <c r="GY2" s="174"/>
      <c r="GZ2" s="174"/>
      <c r="HA2" s="174"/>
      <c r="HB2" s="174"/>
      <c r="HC2" s="174"/>
      <c r="HD2" s="174"/>
      <c r="HE2" s="174"/>
      <c r="HF2" s="174"/>
      <c r="HG2" s="174"/>
      <c r="HH2" s="174"/>
      <c r="HI2" s="174"/>
      <c r="HJ2" s="174"/>
      <c r="HK2" s="174"/>
      <c r="HL2" s="174"/>
      <c r="HM2" s="174"/>
      <c r="HN2" s="174"/>
      <c r="HO2" s="174"/>
      <c r="HP2" s="174"/>
      <c r="HQ2" s="174"/>
      <c r="HR2" s="174"/>
      <c r="HS2" s="174"/>
      <c r="HT2" s="174"/>
      <c r="HU2" s="174"/>
      <c r="HV2" s="174"/>
      <c r="HW2" s="174"/>
      <c r="HX2" s="174"/>
      <c r="HY2" s="174"/>
      <c r="HZ2" s="174"/>
      <c r="IA2" s="174"/>
      <c r="IB2" s="174"/>
      <c r="IC2" s="174"/>
      <c r="ID2" s="174"/>
      <c r="IE2" s="174"/>
      <c r="IF2" s="174"/>
      <c r="IG2" s="174"/>
      <c r="IH2" s="174"/>
      <c r="II2" s="174"/>
      <c r="IJ2" s="174"/>
      <c r="IK2" s="174"/>
      <c r="IL2" s="174"/>
      <c r="IM2" s="174"/>
      <c r="IN2" s="174"/>
      <c r="IO2" s="174"/>
      <c r="IP2" s="174"/>
      <c r="IQ2" s="174"/>
      <c r="IR2" s="174"/>
      <c r="IS2" s="174"/>
      <c r="IT2" s="174"/>
      <c r="IU2" s="174"/>
      <c r="IV2" s="174"/>
      <c r="IW2" s="174"/>
      <c r="IX2" s="174"/>
      <c r="IY2" s="174"/>
      <c r="IZ2" s="174"/>
      <c r="JA2" s="174"/>
      <c r="JB2" s="174"/>
      <c r="JC2" s="174"/>
      <c r="JD2" s="174"/>
      <c r="JE2" s="174"/>
      <c r="JF2" s="174"/>
      <c r="JG2" s="174"/>
      <c r="JH2" s="174"/>
      <c r="JI2" s="174"/>
      <c r="JJ2" s="174"/>
      <c r="JK2" s="174"/>
      <c r="JL2" s="174"/>
      <c r="JM2" s="175"/>
      <c r="JN2" s="173" t="s">
        <v>134</v>
      </c>
      <c r="JO2" s="174"/>
      <c r="JP2" s="174"/>
      <c r="JQ2" s="174"/>
      <c r="JR2" s="174"/>
      <c r="JS2" s="174"/>
      <c r="JT2" s="174"/>
      <c r="JU2" s="174"/>
      <c r="JV2" s="174"/>
      <c r="JW2" s="174"/>
      <c r="JX2" s="174"/>
      <c r="JY2" s="174"/>
      <c r="JZ2" s="174"/>
      <c r="KA2" s="174"/>
      <c r="KB2" s="174"/>
      <c r="KC2" s="174"/>
      <c r="KD2" s="174"/>
      <c r="KE2" s="174"/>
      <c r="KF2" s="174"/>
      <c r="KG2" s="174"/>
      <c r="KH2" s="174"/>
      <c r="KI2" s="174"/>
      <c r="KJ2" s="174"/>
      <c r="KK2" s="174"/>
      <c r="KL2" s="174"/>
      <c r="KM2" s="174"/>
      <c r="KN2" s="174"/>
      <c r="KO2" s="174"/>
      <c r="KP2" s="174"/>
      <c r="KQ2" s="174"/>
      <c r="KR2" s="174"/>
      <c r="KS2" s="174"/>
      <c r="KT2" s="174"/>
      <c r="KU2" s="174"/>
      <c r="KV2" s="174"/>
      <c r="KW2" s="174"/>
      <c r="KX2" s="174"/>
      <c r="KY2" s="174"/>
      <c r="KZ2" s="174"/>
      <c r="LA2" s="174"/>
      <c r="LB2" s="174"/>
      <c r="LC2" s="174"/>
      <c r="LD2" s="174"/>
      <c r="LE2" s="174"/>
      <c r="LF2" s="174"/>
      <c r="LG2" s="174"/>
      <c r="LH2" s="174"/>
      <c r="LI2" s="174"/>
      <c r="LJ2" s="174"/>
      <c r="LK2" s="174"/>
      <c r="LL2" s="174"/>
      <c r="LM2" s="174"/>
      <c r="LN2" s="174"/>
      <c r="LO2" s="174"/>
      <c r="LP2" s="174"/>
      <c r="LQ2" s="174"/>
      <c r="LR2" s="174"/>
      <c r="LS2" s="174"/>
      <c r="LT2" s="174"/>
      <c r="LU2" s="174"/>
      <c r="LV2" s="174"/>
      <c r="LW2" s="174"/>
      <c r="LX2" s="174"/>
      <c r="LY2" s="174"/>
      <c r="LZ2" s="174"/>
      <c r="MA2" s="174"/>
      <c r="MB2" s="174"/>
      <c r="MC2" s="174"/>
      <c r="MD2" s="174"/>
      <c r="ME2" s="174"/>
      <c r="MF2" s="174"/>
      <c r="MG2" s="174"/>
      <c r="MH2" s="174"/>
      <c r="MI2" s="174"/>
      <c r="MJ2" s="174"/>
      <c r="MK2" s="174"/>
      <c r="ML2" s="174"/>
      <c r="MM2" s="174"/>
      <c r="MN2" s="174"/>
      <c r="MO2" s="174"/>
      <c r="MP2" s="174"/>
      <c r="MQ2" s="174"/>
      <c r="MR2" s="174"/>
      <c r="MS2" s="174"/>
      <c r="MT2" s="174"/>
      <c r="MU2" s="174"/>
      <c r="MV2" s="174"/>
      <c r="MW2" s="174"/>
      <c r="MX2" s="174"/>
      <c r="MY2" s="175"/>
      <c r="MZ2" s="173" t="s">
        <v>135</v>
      </c>
      <c r="NA2" s="174"/>
      <c r="NB2" s="174"/>
      <c r="NC2" s="174"/>
      <c r="ND2" s="174"/>
      <c r="NE2" s="174"/>
      <c r="NF2" s="174"/>
      <c r="NG2" s="174"/>
      <c r="NH2" s="174"/>
      <c r="NI2" s="174"/>
      <c r="NJ2" s="174"/>
      <c r="NK2" s="174"/>
      <c r="NL2" s="174"/>
      <c r="NM2" s="174"/>
      <c r="NN2" s="174"/>
      <c r="NO2" s="174"/>
      <c r="NP2" s="174"/>
      <c r="NQ2" s="174"/>
      <c r="NR2" s="174"/>
      <c r="NS2" s="174"/>
      <c r="NT2" s="174"/>
      <c r="NU2" s="174"/>
      <c r="NV2" s="174"/>
      <c r="NW2" s="174"/>
      <c r="NX2" s="174"/>
      <c r="NY2" s="174"/>
      <c r="NZ2" s="174"/>
      <c r="OA2" s="174"/>
      <c r="OB2" s="174"/>
      <c r="OC2" s="174"/>
      <c r="OD2" s="174"/>
      <c r="OE2" s="174"/>
      <c r="OF2" s="174"/>
      <c r="OG2" s="174"/>
      <c r="OH2" s="174"/>
      <c r="OI2" s="174"/>
      <c r="OJ2" s="174"/>
      <c r="OK2" s="174"/>
      <c r="OL2" s="174"/>
      <c r="OM2" s="174"/>
      <c r="ON2" s="174"/>
      <c r="OO2" s="174"/>
      <c r="OP2" s="174"/>
      <c r="OQ2" s="174"/>
      <c r="OR2" s="174"/>
      <c r="OS2" s="174"/>
      <c r="OT2" s="174"/>
      <c r="OU2" s="174"/>
      <c r="OV2" s="174"/>
      <c r="OW2" s="174"/>
      <c r="OX2" s="174"/>
      <c r="OY2" s="174"/>
      <c r="OZ2" s="174"/>
      <c r="PA2" s="174"/>
      <c r="PB2" s="174"/>
      <c r="PC2" s="174"/>
      <c r="PD2" s="174"/>
      <c r="PE2" s="174"/>
      <c r="PF2" s="174"/>
      <c r="PG2" s="174"/>
      <c r="PH2" s="174"/>
      <c r="PI2" s="174"/>
      <c r="PJ2" s="174"/>
      <c r="PK2" s="174"/>
      <c r="PL2" s="174"/>
      <c r="PM2" s="174"/>
      <c r="PN2" s="174"/>
      <c r="PO2" s="174"/>
      <c r="PP2" s="174"/>
      <c r="PQ2" s="174"/>
      <c r="PR2" s="174"/>
      <c r="PS2" s="174"/>
      <c r="PT2" s="174"/>
      <c r="PU2" s="174"/>
      <c r="PV2" s="174"/>
      <c r="PW2" s="174"/>
      <c r="PX2" s="174"/>
      <c r="PY2" s="174"/>
      <c r="PZ2" s="174"/>
      <c r="QA2" s="174"/>
      <c r="QB2" s="174"/>
      <c r="QC2" s="174"/>
      <c r="QD2" s="174"/>
      <c r="QE2" s="174"/>
      <c r="QF2" s="174"/>
      <c r="QG2" s="174"/>
      <c r="QH2" s="174"/>
      <c r="QI2" s="174"/>
      <c r="QJ2" s="174"/>
      <c r="QK2" s="175"/>
    </row>
    <row r="3" spans="1:453" ht="19.5" customHeight="1" x14ac:dyDescent="0.25">
      <c r="A3" s="138"/>
      <c r="B3" s="178"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9"/>
      <c r="C4" s="22">
        <v>29</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64"/>
      <c r="GA4" s="167"/>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66"/>
      <c r="KP4" s="164"/>
      <c r="KQ4" s="165"/>
      <c r="KR4" s="166"/>
      <c r="KS4" s="164"/>
      <c r="KT4" s="165"/>
      <c r="KU4" s="166"/>
      <c r="KV4" s="164"/>
      <c r="KW4" s="165"/>
      <c r="KX4" s="166"/>
      <c r="KY4" s="164"/>
      <c r="KZ4" s="165"/>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80"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7"/>
      <c r="C6" s="150">
        <v>16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66"/>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66"/>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66"/>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66"/>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66"/>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63"/>
      <c r="JO6" s="145"/>
      <c r="JP6" s="146"/>
      <c r="JQ6" s="147"/>
      <c r="JR6" s="145"/>
      <c r="JS6" s="146"/>
      <c r="JT6" s="147"/>
      <c r="JU6" s="145"/>
      <c r="JV6" s="146"/>
      <c r="JW6" s="147"/>
      <c r="JX6" s="145"/>
      <c r="JY6" s="146"/>
      <c r="JZ6" s="166"/>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6"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7"/>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6"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7"/>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6"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7"/>
      <c r="C12" s="150">
        <v>22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64"/>
      <c r="EE12" s="165"/>
      <c r="EF12" s="166"/>
      <c r="EG12" s="164"/>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66"/>
      <c r="FW12" s="164"/>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64"/>
      <c r="HQ12" s="165"/>
      <c r="HR12" s="166"/>
      <c r="HS12" s="164"/>
      <c r="HT12" s="165"/>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64"/>
      <c r="JG12" s="165"/>
      <c r="JH12" s="166"/>
      <c r="JI12" s="164"/>
      <c r="JJ12" s="165"/>
      <c r="JK12" s="166"/>
      <c r="JL12" s="164"/>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64"/>
      <c r="KN12" s="165"/>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6"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7"/>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6"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7"/>
      <c r="C16" s="150">
        <v>58</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66"/>
      <c r="EM16" s="164"/>
      <c r="EN16" s="165"/>
      <c r="EO16" s="166"/>
      <c r="EP16" s="164"/>
      <c r="EQ16" s="165"/>
      <c r="ER16" s="166"/>
      <c r="ES16" s="164"/>
      <c r="ET16" s="165"/>
      <c r="EU16" s="166"/>
      <c r="EV16" s="164"/>
      <c r="EW16" s="165"/>
      <c r="EX16" s="166"/>
      <c r="EY16" s="164"/>
      <c r="EZ16" s="165"/>
      <c r="FA16" s="147"/>
      <c r="FB16" s="145"/>
      <c r="FC16" s="165"/>
      <c r="FD16" s="166"/>
      <c r="FE16" s="164"/>
      <c r="FF16" s="165"/>
      <c r="FG16" s="166"/>
      <c r="FH16" s="164"/>
      <c r="FI16" s="165"/>
      <c r="FJ16" s="166"/>
      <c r="FK16" s="164"/>
      <c r="FL16" s="165"/>
      <c r="FM16" s="166"/>
      <c r="FN16" s="164"/>
      <c r="FO16" s="165"/>
      <c r="FP16" s="166"/>
      <c r="FQ16" s="164"/>
      <c r="FR16" s="165"/>
      <c r="FS16" s="166"/>
      <c r="FT16" s="164"/>
      <c r="FU16" s="165"/>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64"/>
      <c r="GV16" s="165"/>
      <c r="GW16" s="166"/>
      <c r="GX16" s="164"/>
      <c r="GY16" s="165"/>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6"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7"/>
      <c r="C18" s="150">
        <v>35</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66"/>
      <c r="GR18" s="164"/>
      <c r="GS18" s="165"/>
      <c r="GT18" s="166"/>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66"/>
      <c r="HV18" s="164"/>
      <c r="HW18" s="165"/>
      <c r="HX18" s="166"/>
      <c r="HY18" s="164"/>
      <c r="HZ18" s="165"/>
      <c r="IA18" s="147"/>
      <c r="IB18" s="145"/>
      <c r="IC18" s="146"/>
      <c r="ID18" s="147"/>
      <c r="IE18" s="145"/>
      <c r="IF18" s="146"/>
      <c r="IG18" s="147"/>
      <c r="IH18" s="145"/>
      <c r="II18" s="146"/>
      <c r="IJ18" s="147"/>
      <c r="IK18" s="145"/>
      <c r="IL18" s="146"/>
      <c r="IM18" s="147"/>
      <c r="IN18" s="164"/>
      <c r="IO18" s="165"/>
      <c r="IP18" s="166"/>
      <c r="IQ18" s="164"/>
      <c r="IR18" s="165"/>
      <c r="IS18" s="166"/>
      <c r="IT18" s="164"/>
      <c r="IU18" s="165"/>
      <c r="IV18" s="147"/>
      <c r="IW18" s="145"/>
      <c r="IX18" s="146"/>
      <c r="IY18" s="147"/>
      <c r="IZ18" s="145"/>
      <c r="JA18" s="146"/>
      <c r="JB18" s="147"/>
      <c r="JC18" s="145"/>
      <c r="JD18" s="146"/>
      <c r="JE18" s="147"/>
      <c r="JF18" s="145"/>
      <c r="JG18" s="146"/>
      <c r="JH18" s="147"/>
      <c r="JI18" s="145"/>
      <c r="JJ18" s="146"/>
      <c r="JK18" s="147"/>
      <c r="JL18" s="145"/>
      <c r="JM18" s="148"/>
      <c r="JN18" s="144"/>
      <c r="JO18" s="164"/>
      <c r="JP18" s="165"/>
      <c r="JQ18" s="166"/>
      <c r="JR18" s="145"/>
      <c r="JS18" s="146"/>
      <c r="JT18" s="147"/>
      <c r="JU18" s="145"/>
      <c r="JV18" s="146"/>
      <c r="JW18" s="147"/>
      <c r="JX18" s="145"/>
      <c r="JY18" s="146"/>
      <c r="JZ18" s="147"/>
      <c r="KA18" s="164"/>
      <c r="KB18" s="165"/>
      <c r="KC18" s="166"/>
      <c r="KD18" s="164"/>
      <c r="KE18" s="165"/>
      <c r="KF18" s="166"/>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6"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7"/>
      <c r="C20" s="150">
        <v>7</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64"/>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67"/>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6"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7"/>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6"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7"/>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6"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7"/>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63"/>
      <c r="GC26" s="164"/>
      <c r="GD26" s="165"/>
      <c r="GE26" s="166"/>
      <c r="GF26" s="164"/>
      <c r="GG26" s="165"/>
      <c r="GH26" s="166"/>
      <c r="GI26" s="164"/>
      <c r="GJ26" s="165"/>
      <c r="GK26" s="166"/>
      <c r="GL26" s="164"/>
      <c r="GM26" s="165"/>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6"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7"/>
      <c r="C28" s="150">
        <v>51</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66"/>
      <c r="HA28" s="164"/>
      <c r="HB28" s="165"/>
      <c r="HC28" s="166"/>
      <c r="HD28" s="164"/>
      <c r="HE28" s="165"/>
      <c r="HF28" s="166"/>
      <c r="HG28" s="164"/>
      <c r="HH28" s="165"/>
      <c r="HI28" s="166"/>
      <c r="HJ28" s="164"/>
      <c r="HK28" s="165"/>
      <c r="HL28" s="166"/>
      <c r="HM28" s="164"/>
      <c r="HN28" s="165"/>
      <c r="HO28" s="147"/>
      <c r="HP28" s="145"/>
      <c r="HQ28" s="146"/>
      <c r="HR28" s="147"/>
      <c r="HS28" s="145"/>
      <c r="HT28" s="146"/>
      <c r="HU28" s="147"/>
      <c r="HV28" s="145"/>
      <c r="HW28" s="146"/>
      <c r="HX28" s="147"/>
      <c r="HY28" s="145"/>
      <c r="HZ28" s="146"/>
      <c r="IA28" s="166"/>
      <c r="IB28" s="164"/>
      <c r="IC28" s="165"/>
      <c r="ID28" s="166"/>
      <c r="IE28" s="164"/>
      <c r="IF28" s="165"/>
      <c r="IG28" s="166"/>
      <c r="IH28" s="164"/>
      <c r="II28" s="165"/>
      <c r="IJ28" s="166"/>
      <c r="IK28" s="164"/>
      <c r="IL28" s="165"/>
      <c r="IM28" s="147"/>
      <c r="IN28" s="145"/>
      <c r="IO28" s="146"/>
      <c r="IP28" s="147"/>
      <c r="IQ28" s="145"/>
      <c r="IR28" s="146"/>
      <c r="IS28" s="147"/>
      <c r="IT28" s="145"/>
      <c r="IU28" s="146"/>
      <c r="IV28" s="166"/>
      <c r="IW28" s="164"/>
      <c r="IX28" s="165"/>
      <c r="IY28" s="166"/>
      <c r="IZ28" s="164"/>
      <c r="JA28" s="165"/>
      <c r="JB28" s="166"/>
      <c r="JC28" s="164"/>
      <c r="JD28" s="165"/>
      <c r="JE28" s="166"/>
      <c r="JF28" s="145"/>
      <c r="JG28" s="146"/>
      <c r="JH28" s="147"/>
      <c r="JI28" s="145"/>
      <c r="JJ28" s="146"/>
      <c r="JK28" s="147"/>
      <c r="JL28" s="145"/>
      <c r="JM28" s="148"/>
      <c r="JN28" s="144"/>
      <c r="JO28" s="145"/>
      <c r="JP28" s="146"/>
      <c r="JQ28" s="147"/>
      <c r="JR28" s="164"/>
      <c r="JS28" s="165"/>
      <c r="JT28" s="166"/>
      <c r="JU28" s="164"/>
      <c r="JV28" s="165"/>
      <c r="JW28" s="166"/>
      <c r="JX28" s="164"/>
      <c r="JY28" s="165"/>
      <c r="JZ28" s="147"/>
      <c r="KA28" s="145"/>
      <c r="KB28" s="146"/>
      <c r="KC28" s="147"/>
      <c r="KD28" s="145"/>
      <c r="KE28" s="146"/>
      <c r="KF28" s="147"/>
      <c r="KG28" s="164"/>
      <c r="KH28" s="165"/>
      <c r="KI28" s="166"/>
      <c r="KJ28" s="164"/>
      <c r="KK28" s="165"/>
      <c r="KL28" s="166"/>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6"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7"/>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6"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7"/>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6"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7"/>
      <c r="C34" s="150">
        <v>12</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65"/>
      <c r="EI34" s="166"/>
      <c r="EJ34" s="164"/>
      <c r="EK34" s="165"/>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65"/>
      <c r="FY34" s="166"/>
      <c r="FZ34" s="145"/>
      <c r="GA34" s="148"/>
      <c r="GB34" s="144"/>
      <c r="GC34" s="145"/>
      <c r="GD34" s="146"/>
      <c r="GE34" s="147"/>
      <c r="GF34" s="145"/>
      <c r="GG34" s="146"/>
      <c r="GH34" s="147"/>
      <c r="GI34" s="145"/>
      <c r="GJ34" s="146"/>
      <c r="GK34" s="147"/>
      <c r="GL34" s="145"/>
      <c r="GM34" s="146"/>
      <c r="GN34" s="147"/>
      <c r="GO34" s="164"/>
      <c r="GP34" s="165"/>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6"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7"/>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309</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8" t="s">
        <v>21</v>
      </c>
      <c r="C3" s="16">
        <v>0</v>
      </c>
    </row>
    <row r="4" spans="1:4" ht="19.5" customHeight="1" x14ac:dyDescent="0.25">
      <c r="A4" s="19"/>
      <c r="B4" s="18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73" workbookViewId="0">
      <selection activeCell="C61" sqref="C61"/>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40.5"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9"/>
  <sheetViews>
    <sheetView tabSelected="1" topLeftCell="A91" zoomScaleNormal="100" workbookViewId="0">
      <selection activeCell="C103" sqref="C103"/>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138</v>
      </c>
      <c r="D10" s="110" t="s">
        <v>136</v>
      </c>
    </row>
    <row r="11" spans="1:4" s="53" customFormat="1" ht="67.5" x14ac:dyDescent="0.25">
      <c r="A11" s="2" t="s">
        <v>27</v>
      </c>
      <c r="B11" s="2">
        <v>3</v>
      </c>
      <c r="C11" s="101" t="s">
        <v>137</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142</v>
      </c>
      <c r="D26" s="110" t="s">
        <v>143</v>
      </c>
    </row>
    <row r="27" spans="1:9" ht="121.5" x14ac:dyDescent="0.25">
      <c r="A27" s="92" t="s">
        <v>31</v>
      </c>
      <c r="B27" s="93">
        <v>1</v>
      </c>
      <c r="C27" s="110" t="s">
        <v>144</v>
      </c>
      <c r="D27" s="110"/>
    </row>
    <row r="28" spans="1:9" ht="67.5" x14ac:dyDescent="0.25">
      <c r="A28" s="92" t="s">
        <v>28</v>
      </c>
      <c r="B28" s="93">
        <v>3</v>
      </c>
      <c r="C28" s="110" t="s">
        <v>158</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94.5" x14ac:dyDescent="0.25">
      <c r="A31" s="2" t="s">
        <v>27</v>
      </c>
      <c r="B31" s="2">
        <v>3</v>
      </c>
      <c r="C31" s="101" t="s">
        <v>148</v>
      </c>
      <c r="D31" s="101" t="s">
        <v>155</v>
      </c>
      <c r="E31" s="20"/>
      <c r="F31" s="37"/>
      <c r="G31" s="38"/>
      <c r="H31" s="38"/>
      <c r="I31" s="20"/>
    </row>
    <row r="32" spans="1:9" ht="40.5" x14ac:dyDescent="0.25">
      <c r="A32" s="51" t="s">
        <v>39</v>
      </c>
      <c r="B32" s="51">
        <v>1</v>
      </c>
      <c r="C32" s="131" t="s">
        <v>139</v>
      </c>
      <c r="D32" s="131" t="s">
        <v>140</v>
      </c>
      <c r="E32" s="20"/>
      <c r="F32" s="37"/>
      <c r="G32" s="38"/>
      <c r="H32" s="38"/>
      <c r="I32" s="20"/>
    </row>
    <row r="33" spans="1:9" ht="189" x14ac:dyDescent="0.25">
      <c r="A33" s="51" t="s">
        <v>28</v>
      </c>
      <c r="B33" s="51">
        <v>15</v>
      </c>
      <c r="C33" s="131" t="s">
        <v>159</v>
      </c>
      <c r="D33" s="131" t="s">
        <v>147</v>
      </c>
      <c r="E33" s="20"/>
      <c r="F33" s="37"/>
      <c r="G33" s="38"/>
      <c r="H33" s="38"/>
      <c r="I33" s="20"/>
    </row>
    <row r="34" spans="1:9" ht="121.5" x14ac:dyDescent="0.25">
      <c r="A34" s="51" t="s">
        <v>78</v>
      </c>
      <c r="B34" s="51">
        <v>4</v>
      </c>
      <c r="C34" s="131" t="s">
        <v>149</v>
      </c>
      <c r="D34" s="131" t="s">
        <v>146</v>
      </c>
      <c r="E34" s="20"/>
      <c r="F34" s="37"/>
      <c r="G34" s="38"/>
      <c r="H34" s="38"/>
      <c r="I34" s="20"/>
    </row>
    <row r="35" spans="1:9" ht="229.5" x14ac:dyDescent="0.25">
      <c r="A35" s="51" t="s">
        <v>31</v>
      </c>
      <c r="B35" s="51">
        <v>2</v>
      </c>
      <c r="C35" s="131" t="s">
        <v>141</v>
      </c>
      <c r="D35" s="131"/>
      <c r="E35" s="20"/>
      <c r="F35" s="37"/>
      <c r="G35" s="38"/>
      <c r="H35" s="38"/>
      <c r="I35" s="20"/>
    </row>
    <row r="36" spans="1:9" ht="147" x14ac:dyDescent="0.25">
      <c r="A36" s="51" t="s">
        <v>57</v>
      </c>
      <c r="B36" s="51">
        <v>2</v>
      </c>
      <c r="C36" s="131" t="s">
        <v>156</v>
      </c>
      <c r="D36" s="131" t="s">
        <v>145</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SUM(B39:B43)</f>
        <v>24</v>
      </c>
      <c r="C38" s="118" t="s">
        <v>37</v>
      </c>
      <c r="D38" s="119"/>
      <c r="E38" s="20"/>
      <c r="F38" s="37"/>
      <c r="G38" s="38"/>
      <c r="H38" s="38"/>
      <c r="I38" s="20"/>
    </row>
    <row r="39" spans="1:9" ht="40.5" x14ac:dyDescent="0.25">
      <c r="A39" s="93" t="s">
        <v>27</v>
      </c>
      <c r="B39" s="93">
        <v>1</v>
      </c>
      <c r="C39" s="110" t="s">
        <v>48</v>
      </c>
      <c r="D39" s="110" t="s">
        <v>91</v>
      </c>
      <c r="E39" s="20"/>
      <c r="F39" s="37"/>
      <c r="G39" s="38"/>
      <c r="H39" s="38"/>
      <c r="I39" s="20"/>
    </row>
    <row r="40" spans="1:9" ht="216" x14ac:dyDescent="0.25">
      <c r="A40" s="93" t="s">
        <v>57</v>
      </c>
      <c r="B40" s="93">
        <v>4</v>
      </c>
      <c r="C40" s="110" t="s">
        <v>163</v>
      </c>
      <c r="D40" s="110" t="s">
        <v>153</v>
      </c>
      <c r="E40" s="20"/>
      <c r="F40" s="37"/>
      <c r="G40" s="38"/>
      <c r="H40" s="38"/>
      <c r="I40" s="20"/>
    </row>
    <row r="41" spans="1:9" ht="67.5" x14ac:dyDescent="0.25">
      <c r="A41" s="93" t="s">
        <v>78</v>
      </c>
      <c r="B41" s="93">
        <v>4</v>
      </c>
      <c r="C41" s="110" t="s">
        <v>150</v>
      </c>
      <c r="D41" s="110" t="s">
        <v>151</v>
      </c>
      <c r="E41" s="20"/>
      <c r="F41" s="37"/>
      <c r="G41" s="38"/>
      <c r="H41" s="38"/>
      <c r="I41" s="20"/>
    </row>
    <row r="42" spans="1:9" ht="94.5" x14ac:dyDescent="0.25">
      <c r="A42" s="93" t="s">
        <v>28</v>
      </c>
      <c r="B42" s="93">
        <v>15</v>
      </c>
      <c r="C42" s="110" t="s">
        <v>154</v>
      </c>
      <c r="D42" s="110" t="s">
        <v>152</v>
      </c>
      <c r="E42" s="20"/>
      <c r="F42" s="37"/>
      <c r="G42" s="38"/>
      <c r="H42" s="38"/>
      <c r="I42" s="20"/>
    </row>
    <row r="43" spans="1:9" x14ac:dyDescent="0.25">
      <c r="A43" s="168"/>
      <c r="B43" s="168"/>
      <c r="C43" s="169"/>
      <c r="D43" s="169"/>
      <c r="E43" s="20"/>
      <c r="F43" s="37"/>
      <c r="G43" s="38"/>
      <c r="H43" s="38"/>
      <c r="I43" s="20"/>
    </row>
    <row r="44" spans="1:9" ht="14.25" x14ac:dyDescent="0.25">
      <c r="A44" s="116" t="s">
        <v>73</v>
      </c>
      <c r="B44" s="117">
        <f>SUM(B45:B51)</f>
        <v>27</v>
      </c>
      <c r="C44" s="118" t="s">
        <v>36</v>
      </c>
      <c r="D44" s="119"/>
      <c r="E44" s="20"/>
      <c r="F44" s="37"/>
      <c r="G44" s="38"/>
      <c r="H44" s="38"/>
      <c r="I44" s="20"/>
    </row>
    <row r="45" spans="1:9" ht="40.5" x14ac:dyDescent="0.25">
      <c r="A45" s="170" t="s">
        <v>27</v>
      </c>
      <c r="B45" s="170">
        <v>1</v>
      </c>
      <c r="C45" s="135" t="s">
        <v>48</v>
      </c>
      <c r="D45" s="135" t="s">
        <v>91</v>
      </c>
      <c r="E45" s="20"/>
      <c r="F45" s="37"/>
      <c r="G45" s="38"/>
      <c r="H45" s="38"/>
      <c r="I45" s="20"/>
    </row>
    <row r="46" spans="1:9" ht="108" x14ac:dyDescent="0.25">
      <c r="A46" s="2" t="s">
        <v>31</v>
      </c>
      <c r="B46" s="2">
        <v>1</v>
      </c>
      <c r="C46" s="101" t="s">
        <v>157</v>
      </c>
      <c r="D46" s="10"/>
      <c r="E46" s="20"/>
      <c r="F46" s="37"/>
      <c r="G46" s="38"/>
      <c r="H46" s="38"/>
      <c r="I46" s="20"/>
    </row>
    <row r="47" spans="1:9" ht="81" x14ac:dyDescent="0.25">
      <c r="A47" s="51" t="s">
        <v>28</v>
      </c>
      <c r="B47" s="51">
        <v>19</v>
      </c>
      <c r="C47" s="131" t="s">
        <v>160</v>
      </c>
      <c r="D47" s="131" t="s">
        <v>92</v>
      </c>
      <c r="E47" s="20"/>
      <c r="F47" s="37"/>
      <c r="G47" s="38"/>
      <c r="H47" s="38"/>
      <c r="I47" s="20"/>
    </row>
    <row r="48" spans="1:9" ht="162" x14ac:dyDescent="0.25">
      <c r="A48" s="51" t="s">
        <v>57</v>
      </c>
      <c r="B48" s="51">
        <v>2</v>
      </c>
      <c r="C48" s="131" t="s">
        <v>165</v>
      </c>
      <c r="D48" s="131" t="s">
        <v>161</v>
      </c>
      <c r="E48" s="20"/>
      <c r="F48" s="37"/>
      <c r="G48" s="38"/>
      <c r="H48" s="38"/>
      <c r="I48" s="20"/>
    </row>
    <row r="49" spans="1:9" ht="40.5" x14ac:dyDescent="0.25">
      <c r="A49" s="51" t="s">
        <v>78</v>
      </c>
      <c r="B49" s="51">
        <v>2</v>
      </c>
      <c r="C49" s="131" t="s">
        <v>164</v>
      </c>
      <c r="D49" s="131" t="s">
        <v>151</v>
      </c>
      <c r="E49" s="20"/>
      <c r="F49" s="37"/>
      <c r="G49" s="38"/>
      <c r="H49" s="38"/>
      <c r="I49" s="20"/>
    </row>
    <row r="50" spans="1:9" x14ac:dyDescent="0.25">
      <c r="A50" s="51" t="s">
        <v>21</v>
      </c>
      <c r="B50" s="51">
        <v>2</v>
      </c>
      <c r="C50" s="131" t="s">
        <v>162</v>
      </c>
      <c r="D50" s="131"/>
      <c r="E50" s="20"/>
      <c r="F50" s="37"/>
      <c r="G50" s="38"/>
      <c r="H50" s="38"/>
      <c r="I50" s="20"/>
    </row>
    <row r="51" spans="1:9" ht="14.25" thickBot="1" x14ac:dyDescent="0.3">
      <c r="A51" s="51"/>
      <c r="B51" s="51"/>
      <c r="C51" s="52"/>
      <c r="D51" s="52"/>
      <c r="E51" s="20"/>
      <c r="F51" s="39"/>
      <c r="G51" s="40"/>
      <c r="H51" s="40"/>
      <c r="I51" s="20"/>
    </row>
    <row r="52" spans="1:9" ht="15" thickBot="1" x14ac:dyDescent="0.35">
      <c r="A52" s="48" t="s">
        <v>22</v>
      </c>
      <c r="B52" s="48">
        <f>SUM(B25:B29,B31:B37,B39:B43,B45:B51)</f>
        <v>90</v>
      </c>
      <c r="C52" s="90" t="s">
        <v>38</v>
      </c>
      <c r="D52" s="49"/>
      <c r="E52" s="20"/>
      <c r="F52" s="41"/>
      <c r="G52" s="41"/>
      <c r="H52" s="41"/>
      <c r="I52" s="20"/>
    </row>
    <row r="53" spans="1:9" ht="15" thickBot="1" x14ac:dyDescent="0.35">
      <c r="A53" s="50"/>
      <c r="B53" s="50"/>
      <c r="C53" s="50"/>
      <c r="D53" s="50"/>
      <c r="E53" s="20"/>
      <c r="F53" s="20"/>
      <c r="G53" s="20"/>
      <c r="H53" s="20"/>
      <c r="I53" s="20"/>
    </row>
    <row r="54" spans="1:9" ht="18.75" thickBot="1" x14ac:dyDescent="0.3">
      <c r="A54" s="43" t="s">
        <v>14</v>
      </c>
      <c r="B54" s="44">
        <v>3</v>
      </c>
      <c r="C54" s="45" t="s">
        <v>23</v>
      </c>
      <c r="D54" s="54">
        <f>$D$22+7</f>
        <v>43241</v>
      </c>
      <c r="E54" s="20"/>
      <c r="F54" s="20"/>
      <c r="G54" s="20"/>
      <c r="H54" s="20"/>
      <c r="I54" s="20"/>
    </row>
    <row r="55" spans="1:9" ht="27.75" thickBot="1" x14ac:dyDescent="0.3">
      <c r="A55" s="46" t="s">
        <v>3</v>
      </c>
      <c r="B55" s="47" t="s">
        <v>15</v>
      </c>
      <c r="C55" s="46" t="s">
        <v>7</v>
      </c>
      <c r="D55" s="46" t="s">
        <v>13</v>
      </c>
    </row>
    <row r="56" spans="1:9" ht="14.25" x14ac:dyDescent="0.25">
      <c r="A56" s="121" t="s">
        <v>66</v>
      </c>
      <c r="B56" s="122">
        <f>SUM(B57:B58)</f>
        <v>12</v>
      </c>
      <c r="C56" s="123" t="s">
        <v>35</v>
      </c>
      <c r="D56" s="124"/>
    </row>
    <row r="57" spans="1:9" x14ac:dyDescent="0.25">
      <c r="A57" s="92" t="s">
        <v>41</v>
      </c>
      <c r="B57" s="93">
        <v>12</v>
      </c>
      <c r="C57" s="110" t="s">
        <v>80</v>
      </c>
      <c r="D57" s="94"/>
    </row>
    <row r="58" spans="1:9" x14ac:dyDescent="0.25">
      <c r="A58" s="95"/>
      <c r="B58" s="51"/>
      <c r="C58" s="52"/>
      <c r="D58" s="52"/>
    </row>
    <row r="59" spans="1:9" ht="14.25" x14ac:dyDescent="0.25">
      <c r="A59" s="120" t="s">
        <v>67</v>
      </c>
      <c r="B59" s="117">
        <f>SUM(B60:B65)</f>
        <v>27</v>
      </c>
      <c r="C59" s="118" t="s">
        <v>36</v>
      </c>
      <c r="D59" s="119"/>
    </row>
    <row r="60" spans="1:9" ht="94.5" x14ac:dyDescent="0.25">
      <c r="A60" s="2" t="s">
        <v>27</v>
      </c>
      <c r="B60" s="2">
        <v>1</v>
      </c>
      <c r="C60" s="101" t="s">
        <v>48</v>
      </c>
      <c r="D60" s="101" t="s">
        <v>155</v>
      </c>
    </row>
    <row r="61" spans="1:9" ht="256.5" x14ac:dyDescent="0.25">
      <c r="A61" s="51" t="s">
        <v>78</v>
      </c>
      <c r="B61" s="51">
        <v>2</v>
      </c>
      <c r="C61" s="131" t="s">
        <v>166</v>
      </c>
      <c r="D61" s="131" t="s">
        <v>171</v>
      </c>
    </row>
    <row r="62" spans="1:9" ht="40.5" x14ac:dyDescent="0.25">
      <c r="A62" s="51" t="s">
        <v>30</v>
      </c>
      <c r="B62" s="51">
        <v>4</v>
      </c>
      <c r="C62" s="131" t="s">
        <v>168</v>
      </c>
      <c r="D62" s="131"/>
    </row>
    <row r="63" spans="1:9" ht="148.5" x14ac:dyDescent="0.25">
      <c r="A63" s="51" t="s">
        <v>28</v>
      </c>
      <c r="B63" s="51">
        <v>5</v>
      </c>
      <c r="C63" s="131" t="s">
        <v>167</v>
      </c>
      <c r="D63" s="131" t="s">
        <v>170</v>
      </c>
    </row>
    <row r="64" spans="1:9" ht="148.5" x14ac:dyDescent="0.25">
      <c r="A64" s="51" t="s">
        <v>54</v>
      </c>
      <c r="B64" s="51">
        <v>15</v>
      </c>
      <c r="C64" s="131" t="s">
        <v>169</v>
      </c>
      <c r="D64" s="131" t="s">
        <v>161</v>
      </c>
    </row>
    <row r="65" spans="1:4" x14ac:dyDescent="0.25">
      <c r="A65" s="51"/>
      <c r="B65" s="51"/>
      <c r="C65" s="52"/>
      <c r="D65" s="52"/>
    </row>
    <row r="66" spans="1:4" ht="14.25" x14ac:dyDescent="0.25">
      <c r="A66" s="116" t="s">
        <v>68</v>
      </c>
      <c r="B66" s="117">
        <f>SUM(B67:B71)</f>
        <v>24</v>
      </c>
      <c r="C66" s="118" t="s">
        <v>37</v>
      </c>
      <c r="D66" s="119"/>
    </row>
    <row r="67" spans="1:4" ht="54" x14ac:dyDescent="0.25">
      <c r="A67" s="170" t="s">
        <v>27</v>
      </c>
      <c r="B67" s="170">
        <v>1</v>
      </c>
      <c r="C67" s="135" t="s">
        <v>48</v>
      </c>
      <c r="D67" s="135" t="s">
        <v>172</v>
      </c>
    </row>
    <row r="68" spans="1:4" ht="148.5" x14ac:dyDescent="0.25">
      <c r="A68" s="2" t="s">
        <v>57</v>
      </c>
      <c r="B68" s="2">
        <v>5</v>
      </c>
      <c r="C68" s="101" t="s">
        <v>175</v>
      </c>
      <c r="D68" s="101" t="s">
        <v>161</v>
      </c>
    </row>
    <row r="69" spans="1:4" ht="27" x14ac:dyDescent="0.25">
      <c r="A69" s="51" t="s">
        <v>30</v>
      </c>
      <c r="B69" s="51">
        <v>6</v>
      </c>
      <c r="C69" s="131" t="s">
        <v>174</v>
      </c>
      <c r="D69" s="131"/>
    </row>
    <row r="70" spans="1:4" ht="81" x14ac:dyDescent="0.25">
      <c r="A70" s="51" t="s">
        <v>54</v>
      </c>
      <c r="B70" s="51">
        <v>12</v>
      </c>
      <c r="C70" s="131" t="s">
        <v>173</v>
      </c>
      <c r="D70" s="131" t="s">
        <v>161</v>
      </c>
    </row>
    <row r="71" spans="1:4" x14ac:dyDescent="0.25">
      <c r="A71" s="168"/>
      <c r="B71" s="168"/>
      <c r="C71" s="169"/>
      <c r="D71" s="169"/>
    </row>
    <row r="72" spans="1:4" ht="14.25" x14ac:dyDescent="0.25">
      <c r="A72" s="116" t="s">
        <v>69</v>
      </c>
      <c r="B72" s="117">
        <f>SUM(B73:B78)</f>
        <v>27</v>
      </c>
      <c r="C72" s="118" t="s">
        <v>36</v>
      </c>
      <c r="D72" s="119"/>
    </row>
    <row r="73" spans="1:4" ht="40.5" x14ac:dyDescent="0.25">
      <c r="A73" s="170" t="s">
        <v>27</v>
      </c>
      <c r="B73" s="170">
        <v>1</v>
      </c>
      <c r="C73" s="135" t="s">
        <v>48</v>
      </c>
      <c r="D73" s="135" t="s">
        <v>91</v>
      </c>
    </row>
    <row r="74" spans="1:4" ht="40.5" x14ac:dyDescent="0.25">
      <c r="A74" s="93" t="s">
        <v>30</v>
      </c>
      <c r="B74" s="93">
        <v>8</v>
      </c>
      <c r="C74" s="110" t="s">
        <v>177</v>
      </c>
      <c r="D74" s="110"/>
    </row>
    <row r="75" spans="1:4" ht="81" x14ac:dyDescent="0.25">
      <c r="A75" s="2" t="s">
        <v>54</v>
      </c>
      <c r="B75" s="2">
        <v>10</v>
      </c>
      <c r="C75" s="101" t="s">
        <v>178</v>
      </c>
      <c r="D75" s="101" t="s">
        <v>161</v>
      </c>
    </row>
    <row r="76" spans="1:4" ht="121.5" x14ac:dyDescent="0.25">
      <c r="A76" s="51" t="s">
        <v>57</v>
      </c>
      <c r="B76" s="51">
        <v>7</v>
      </c>
      <c r="C76" s="131" t="s">
        <v>179</v>
      </c>
      <c r="D76" s="131" t="s">
        <v>161</v>
      </c>
    </row>
    <row r="77" spans="1:4" ht="54" x14ac:dyDescent="0.25">
      <c r="A77" s="51" t="s">
        <v>31</v>
      </c>
      <c r="B77" s="51">
        <v>1</v>
      </c>
      <c r="C77" s="131" t="s">
        <v>176</v>
      </c>
      <c r="D77" s="131"/>
    </row>
    <row r="78" spans="1:4" ht="14.25" thickBot="1" x14ac:dyDescent="0.3">
      <c r="A78" s="51"/>
      <c r="B78" s="51"/>
      <c r="C78" s="52"/>
      <c r="D78" s="52"/>
    </row>
    <row r="79" spans="1:4" ht="14.25" thickBot="1" x14ac:dyDescent="0.3">
      <c r="A79" s="48" t="s">
        <v>22</v>
      </c>
      <c r="B79" s="48">
        <f>SUM(B57:B58,B60:B65,B67:B71,B73:B78)</f>
        <v>90</v>
      </c>
      <c r="C79" s="90" t="s">
        <v>38</v>
      </c>
      <c r="D79" s="49"/>
    </row>
    <row r="80" spans="1:4" ht="15" thickBot="1" x14ac:dyDescent="0.35">
      <c r="A80" s="50"/>
      <c r="B80" s="50"/>
      <c r="C80" s="50"/>
      <c r="D80" s="50"/>
    </row>
    <row r="81" spans="1:4" ht="18.75" thickBot="1" x14ac:dyDescent="0.3">
      <c r="A81" s="43" t="s">
        <v>14</v>
      </c>
      <c r="B81" s="44">
        <v>4</v>
      </c>
      <c r="C81" s="45" t="s">
        <v>23</v>
      </c>
      <c r="D81" s="54">
        <f>$D$54+7</f>
        <v>43248</v>
      </c>
    </row>
    <row r="82" spans="1:4" ht="27.75" thickBot="1" x14ac:dyDescent="0.3">
      <c r="A82" s="46" t="s">
        <v>3</v>
      </c>
      <c r="B82" s="47" t="s">
        <v>15</v>
      </c>
      <c r="C82" s="46" t="s">
        <v>7</v>
      </c>
      <c r="D82" s="46" t="s">
        <v>13</v>
      </c>
    </row>
    <row r="83" spans="1:4" ht="14.25" x14ac:dyDescent="0.25">
      <c r="A83" s="121" t="s">
        <v>62</v>
      </c>
      <c r="B83" s="122">
        <f>SUM(B84:B87)</f>
        <v>12</v>
      </c>
      <c r="C83" s="123" t="s">
        <v>35</v>
      </c>
      <c r="D83" s="124"/>
    </row>
    <row r="84" spans="1:4" ht="40.5" x14ac:dyDescent="0.25">
      <c r="A84" s="92" t="s">
        <v>27</v>
      </c>
      <c r="B84" s="93">
        <v>1</v>
      </c>
      <c r="C84" s="110" t="s">
        <v>48</v>
      </c>
      <c r="D84" s="110" t="s">
        <v>91</v>
      </c>
    </row>
    <row r="85" spans="1:4" ht="54" x14ac:dyDescent="0.25">
      <c r="A85" s="91" t="s">
        <v>30</v>
      </c>
      <c r="B85" s="2">
        <v>3</v>
      </c>
      <c r="C85" s="101" t="s">
        <v>180</v>
      </c>
      <c r="D85" s="101" t="s">
        <v>185</v>
      </c>
    </row>
    <row r="86" spans="1:4" ht="54" x14ac:dyDescent="0.25">
      <c r="A86" s="91" t="s">
        <v>54</v>
      </c>
      <c r="B86" s="2">
        <v>8</v>
      </c>
      <c r="C86" s="101" t="s">
        <v>183</v>
      </c>
      <c r="D86" s="101" t="s">
        <v>161</v>
      </c>
    </row>
    <row r="87" spans="1:4" x14ac:dyDescent="0.25">
      <c r="A87" s="95"/>
      <c r="B87" s="51"/>
      <c r="C87" s="52"/>
      <c r="D87" s="52"/>
    </row>
    <row r="88" spans="1:4" ht="14.25" x14ac:dyDescent="0.25">
      <c r="A88" s="120" t="s">
        <v>63</v>
      </c>
      <c r="B88" s="117">
        <f>SUM(B89:B94)</f>
        <v>27</v>
      </c>
      <c r="C88" s="118" t="s">
        <v>36</v>
      </c>
      <c r="D88" s="119"/>
    </row>
    <row r="89" spans="1:4" ht="40.5" x14ac:dyDescent="0.25">
      <c r="A89" s="2" t="s">
        <v>27</v>
      </c>
      <c r="B89" s="2">
        <v>1</v>
      </c>
      <c r="C89" s="101" t="s">
        <v>48</v>
      </c>
      <c r="D89" s="101" t="s">
        <v>91</v>
      </c>
    </row>
    <row r="90" spans="1:4" ht="54" x14ac:dyDescent="0.25">
      <c r="A90" s="51" t="s">
        <v>30</v>
      </c>
      <c r="B90" s="51">
        <v>6</v>
      </c>
      <c r="C90" s="131" t="s">
        <v>182</v>
      </c>
      <c r="D90" s="131" t="s">
        <v>184</v>
      </c>
    </row>
    <row r="91" spans="1:4" ht="83.25" x14ac:dyDescent="0.25">
      <c r="A91" s="51" t="s">
        <v>54</v>
      </c>
      <c r="B91" s="51">
        <v>6</v>
      </c>
      <c r="C91" s="131" t="s">
        <v>186</v>
      </c>
      <c r="D91" s="131" t="s">
        <v>161</v>
      </c>
    </row>
    <row r="92" spans="1:4" ht="27" x14ac:dyDescent="0.25">
      <c r="A92" s="51" t="s">
        <v>57</v>
      </c>
      <c r="B92" s="51">
        <v>2</v>
      </c>
      <c r="C92" s="131" t="s">
        <v>187</v>
      </c>
      <c r="D92" s="131" t="s">
        <v>161</v>
      </c>
    </row>
    <row r="93" spans="1:4" x14ac:dyDescent="0.25">
      <c r="A93" s="51" t="s">
        <v>21</v>
      </c>
      <c r="B93" s="51">
        <v>12</v>
      </c>
      <c r="C93" s="131" t="s">
        <v>181</v>
      </c>
      <c r="D93" s="52"/>
    </row>
    <row r="94" spans="1:4" x14ac:dyDescent="0.25">
      <c r="A94" s="51"/>
      <c r="B94" s="51"/>
      <c r="C94" s="52"/>
      <c r="D94" s="52"/>
    </row>
    <row r="95" spans="1:4" ht="14.25" x14ac:dyDescent="0.25">
      <c r="A95" s="116" t="s">
        <v>64</v>
      </c>
      <c r="B95" s="117">
        <f>SUM(B96:B97)</f>
        <v>0</v>
      </c>
      <c r="C95" s="118" t="s">
        <v>37</v>
      </c>
      <c r="D95" s="119"/>
    </row>
    <row r="96" spans="1:4" x14ac:dyDescent="0.25">
      <c r="A96" s="93"/>
      <c r="B96" s="93"/>
      <c r="C96" s="110"/>
      <c r="D96" s="94"/>
    </row>
    <row r="97" spans="1:4" x14ac:dyDescent="0.25">
      <c r="A97" s="99"/>
      <c r="B97" s="99"/>
      <c r="C97" s="100"/>
      <c r="D97" s="100"/>
    </row>
    <row r="98" spans="1:4" ht="14.25" x14ac:dyDescent="0.25">
      <c r="A98" s="116" t="s">
        <v>65</v>
      </c>
      <c r="B98" s="117">
        <f>SUM(B99:B100)</f>
        <v>0</v>
      </c>
      <c r="C98" s="118" t="s">
        <v>36</v>
      </c>
      <c r="D98" s="119"/>
    </row>
    <row r="99" spans="1:4" x14ac:dyDescent="0.25">
      <c r="A99" s="99"/>
      <c r="B99" s="99"/>
      <c r="C99" s="112"/>
      <c r="D99" s="100"/>
    </row>
    <row r="100" spans="1:4" ht="14.25" thickBot="1" x14ac:dyDescent="0.3">
      <c r="A100" s="51"/>
      <c r="B100" s="51"/>
      <c r="C100" s="52"/>
      <c r="D100" s="52"/>
    </row>
    <row r="101" spans="1:4" ht="14.25" thickBot="1" x14ac:dyDescent="0.3">
      <c r="A101" s="48" t="s">
        <v>22</v>
      </c>
      <c r="B101" s="48">
        <f>SUM(B84:B87,B89:B94,B96:B97,B99:B100)</f>
        <v>39</v>
      </c>
      <c r="C101" s="90" t="s">
        <v>38</v>
      </c>
      <c r="D101" s="49"/>
    </row>
    <row r="102" spans="1:4" ht="15" thickBot="1" x14ac:dyDescent="0.35">
      <c r="A102" s="50"/>
      <c r="B102" s="50"/>
      <c r="C102" s="50"/>
      <c r="D102" s="50"/>
    </row>
    <row r="103" spans="1:4" ht="18.75" thickBot="1" x14ac:dyDescent="0.3">
      <c r="A103" s="43" t="s">
        <v>14</v>
      </c>
      <c r="B103" s="44">
        <v>5</v>
      </c>
      <c r="C103" s="45" t="s">
        <v>23</v>
      </c>
      <c r="D103" s="54">
        <f>$D$81+7</f>
        <v>43255</v>
      </c>
    </row>
    <row r="104" spans="1:4" ht="27.75" thickBot="1" x14ac:dyDescent="0.3">
      <c r="A104" s="46" t="s">
        <v>3</v>
      </c>
      <c r="B104" s="47" t="s">
        <v>15</v>
      </c>
      <c r="C104" s="46" t="s">
        <v>7</v>
      </c>
      <c r="D104" s="46" t="s">
        <v>13</v>
      </c>
    </row>
    <row r="105" spans="1:4" ht="14.25" x14ac:dyDescent="0.25">
      <c r="A105" s="121" t="s">
        <v>61</v>
      </c>
      <c r="B105" s="122">
        <f>SUM(B106:B107)</f>
        <v>0</v>
      </c>
      <c r="C105" s="123" t="s">
        <v>35</v>
      </c>
      <c r="D105" s="124"/>
    </row>
    <row r="106" spans="1:4" x14ac:dyDescent="0.25">
      <c r="A106" s="92"/>
      <c r="B106" s="93"/>
      <c r="C106" s="110"/>
      <c r="D106" s="94"/>
    </row>
    <row r="107" spans="1:4" x14ac:dyDescent="0.25">
      <c r="A107" s="92"/>
      <c r="B107" s="93"/>
      <c r="C107" s="110"/>
      <c r="D107" s="110"/>
    </row>
    <row r="108" spans="1:4" ht="14.25" x14ac:dyDescent="0.25">
      <c r="A108" s="120" t="s">
        <v>60</v>
      </c>
      <c r="B108" s="117">
        <f>SUM(B109:B110)</f>
        <v>0</v>
      </c>
      <c r="C108" s="118" t="s">
        <v>36</v>
      </c>
      <c r="D108" s="119"/>
    </row>
    <row r="109" spans="1:4" x14ac:dyDescent="0.25">
      <c r="A109" s="2"/>
      <c r="B109" s="2"/>
      <c r="C109" s="101"/>
      <c r="D109" s="10"/>
    </row>
    <row r="110" spans="1:4" x14ac:dyDescent="0.25">
      <c r="A110" s="51"/>
      <c r="B110" s="51"/>
      <c r="C110" s="52"/>
      <c r="D110" s="52"/>
    </row>
    <row r="111" spans="1:4" ht="14.25" x14ac:dyDescent="0.25">
      <c r="A111" s="116" t="s">
        <v>58</v>
      </c>
      <c r="B111" s="117">
        <f>SUM(B112:B113)</f>
        <v>0</v>
      </c>
      <c r="C111" s="118" t="s">
        <v>37</v>
      </c>
      <c r="D111" s="119"/>
    </row>
    <row r="112" spans="1:4" x14ac:dyDescent="0.25">
      <c r="A112" s="93"/>
      <c r="B112" s="93"/>
      <c r="C112" s="110"/>
      <c r="D112" s="94"/>
    </row>
    <row r="113" spans="1:4" x14ac:dyDescent="0.25">
      <c r="A113" s="99"/>
      <c r="B113" s="99"/>
      <c r="C113" s="100"/>
      <c r="D113" s="100"/>
    </row>
    <row r="114" spans="1:4" ht="14.25" x14ac:dyDescent="0.25">
      <c r="A114" s="116" t="s">
        <v>59</v>
      </c>
      <c r="B114" s="117">
        <f>SUM(B115:B116)</f>
        <v>0</v>
      </c>
      <c r="C114" s="118" t="s">
        <v>36</v>
      </c>
      <c r="D114" s="119"/>
    </row>
    <row r="115" spans="1:4" x14ac:dyDescent="0.25">
      <c r="A115" s="99"/>
      <c r="B115" s="99"/>
      <c r="C115" s="112"/>
      <c r="D115" s="100"/>
    </row>
    <row r="116" spans="1:4" ht="14.25" thickBot="1" x14ac:dyDescent="0.3">
      <c r="A116" s="51"/>
      <c r="B116" s="51"/>
      <c r="C116" s="52"/>
      <c r="D116" s="52"/>
    </row>
    <row r="117" spans="1:4" ht="14.25" thickBot="1" x14ac:dyDescent="0.3">
      <c r="A117" s="48" t="s">
        <v>22</v>
      </c>
      <c r="B117" s="48">
        <f>SUM(B106:B107,B109:B110,B112:B113,B115:B116)</f>
        <v>0</v>
      </c>
      <c r="C117" s="90" t="s">
        <v>38</v>
      </c>
      <c r="D117" s="49"/>
    </row>
    <row r="118" spans="1:4" ht="14.25" x14ac:dyDescent="0.3">
      <c r="A118" s="50"/>
      <c r="B118" s="50"/>
      <c r="C118" s="50"/>
      <c r="D118" s="50"/>
    </row>
    <row r="119" spans="1:4" x14ac:dyDescent="0.25">
      <c r="A119"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1">
      <formula1>0</formula1>
      <formula2>DureePeriode-1</formula2>
    </dataValidation>
    <dataValidation type="whole" errorStyle="warning" operator="greaterThan" allowBlank="1" showInputMessage="1" showErrorMessage="1" errorTitle="Durée en 1/3 de période" error="Le nombre doit être de type entier" sqref="B3:B19 B56:B78 B83:B100 B105:B116 B24:B51 F31:F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52 B101 B79 B117">
      <formula1>0</formula1>
      <formula2>NbPerWeek * NbQuartPer</formula2>
    </dataValidation>
    <dataValidation type="list" allowBlank="1" showInputMessage="1" showErrorMessage="1" sqref="A99:A100 A15:A16 A18:A19 A45:A51 A67:A71 A73:A78 A96:A97 A106:A107 A112:A113 A115:A116 A57:A58 A4:A7 A9:A13 A31:A37 A60:A65 A84:A87 A89:A94 A109:A110 A25:A29 A39:A43">
      <formula1>lstTasks</formula1>
    </dataValidation>
  </dataValidations>
  <pageMargins left="0.7" right="0.7" top="0.75" bottom="0.75" header="0.3" footer="0.3"/>
  <pageSetup paperSize="8" scale="61" fitToHeight="0"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2018-05-30T10:04:21Z</cp:lastPrinted>
  <dcterms:created xsi:type="dcterms:W3CDTF">1996-10-21T11:03:58Z</dcterms:created>
  <dcterms:modified xsi:type="dcterms:W3CDTF">2018-05-30T10:05:02Z</dcterms:modified>
</cp:coreProperties>
</file>